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kbutton_nps_gov/Documents/Katie Button/NCBN/ENE/R_repos/Seagrass-Temp-Resiliency/data/"/>
    </mc:Choice>
  </mc:AlternateContent>
  <xr:revisionPtr revIDLastSave="6" documentId="8_{E0413709-A4D8-459C-8A22-3049FA94D0EC}" xr6:coauthVersionLast="47" xr6:coauthVersionMax="47" xr10:uidLastSave="{C0C0FE2F-8DC9-492E-A23E-29F6829A8F3B}"/>
  <bookViews>
    <workbookView xWindow="-38520" yWindow="0" windowWidth="38640" windowHeight="21120" activeTab="1" xr2:uid="{79C877D3-2B70-4D93-9239-27F7DCCAB4D1}"/>
  </bookViews>
  <sheets>
    <sheet name="Site Summary Master_25" sheetId="6" r:id="rId1"/>
    <sheet name="Site_Year" sheetId="10" r:id="rId2"/>
    <sheet name="Site Summary Master_28.6" sheetId="1" r:id="rId3"/>
  </sheets>
  <definedNames>
    <definedName name="_xlnm._FilterDatabase" localSheetId="0" hidden="1">'Site Summary Master_25'!$B$1:$B$72</definedName>
    <definedName name="_xlnm._FilterDatabase" localSheetId="1" hidden="1">Site_Year!$A$1:$AK$137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4" i="10" l="1"/>
  <c r="AD134" i="10"/>
  <c r="AE134" i="10"/>
  <c r="AF134" i="10"/>
  <c r="AG134" i="10"/>
  <c r="AH134" i="10"/>
  <c r="AC135" i="10"/>
  <c r="AD135" i="10"/>
  <c r="AE135" i="10"/>
  <c r="AF135" i="10"/>
  <c r="AG135" i="10"/>
  <c r="AH135" i="10"/>
  <c r="AC136" i="10"/>
  <c r="AD136" i="10"/>
  <c r="AE136" i="10"/>
  <c r="AF136" i="10"/>
  <c r="AG136" i="10"/>
  <c r="AH136" i="10"/>
  <c r="AC137" i="10"/>
  <c r="AD137" i="10"/>
  <c r="AE137" i="10"/>
  <c r="AF137" i="10"/>
  <c r="AG137" i="10"/>
  <c r="AH137" i="10"/>
  <c r="AC129" i="10"/>
  <c r="AD129" i="10"/>
  <c r="AE129" i="10"/>
  <c r="AF129" i="10"/>
  <c r="AG129" i="10"/>
  <c r="AH129" i="10"/>
  <c r="AC130" i="10"/>
  <c r="AD130" i="10"/>
  <c r="AE130" i="10"/>
  <c r="AF130" i="10"/>
  <c r="AG130" i="10"/>
  <c r="AH130" i="10"/>
  <c r="AC131" i="10"/>
  <c r="AD131" i="10"/>
  <c r="AE131" i="10"/>
  <c r="AF131" i="10"/>
  <c r="AG131" i="10"/>
  <c r="AH131" i="10"/>
  <c r="AC132" i="10"/>
  <c r="AD132" i="10"/>
  <c r="AE132" i="10"/>
  <c r="AF132" i="10"/>
  <c r="AG132" i="10"/>
  <c r="AH132" i="10"/>
  <c r="AC133" i="10"/>
  <c r="AD133" i="10"/>
  <c r="AE133" i="10"/>
  <c r="AF133" i="10"/>
  <c r="AG133" i="10"/>
  <c r="AH133" i="10"/>
  <c r="AC125" i="10"/>
  <c r="AD125" i="10"/>
  <c r="AE125" i="10"/>
  <c r="AF125" i="10"/>
  <c r="AG125" i="10"/>
  <c r="AH125" i="10"/>
  <c r="AC126" i="10"/>
  <c r="AD126" i="10"/>
  <c r="AE126" i="10"/>
  <c r="AF126" i="10"/>
  <c r="AG126" i="10"/>
  <c r="AH126" i="10"/>
  <c r="AC127" i="10"/>
  <c r="AD127" i="10"/>
  <c r="AE127" i="10"/>
  <c r="AF127" i="10"/>
  <c r="AG127" i="10"/>
  <c r="AH127" i="10"/>
  <c r="AC128" i="10"/>
  <c r="AD128" i="10"/>
  <c r="AE128" i="10"/>
  <c r="AF128" i="10"/>
  <c r="AG128" i="10"/>
  <c r="AH128" i="10"/>
  <c r="AH124" i="10"/>
  <c r="AG124" i="10"/>
  <c r="AF124" i="10"/>
  <c r="AE124" i="10"/>
  <c r="AD124" i="10"/>
  <c r="AC124" i="10"/>
  <c r="AH123" i="10"/>
  <c r="AG123" i="10"/>
  <c r="AF123" i="10"/>
  <c r="AE123" i="10"/>
  <c r="AD123" i="10"/>
  <c r="AC123" i="10"/>
  <c r="AH122" i="10"/>
  <c r="AG122" i="10"/>
  <c r="AF122" i="10"/>
  <c r="AE122" i="10"/>
  <c r="AD122" i="10"/>
  <c r="AC122" i="10"/>
  <c r="AH121" i="10"/>
  <c r="AG121" i="10"/>
  <c r="AF121" i="10"/>
  <c r="AE121" i="10"/>
  <c r="AD121" i="10"/>
  <c r="AC121" i="10"/>
  <c r="AH120" i="10"/>
  <c r="AG120" i="10"/>
  <c r="AF120" i="10"/>
  <c r="AE120" i="10"/>
  <c r="AD120" i="10"/>
  <c r="AC120" i="10"/>
  <c r="AH119" i="10"/>
  <c r="AG119" i="10"/>
  <c r="AF119" i="10"/>
  <c r="AE119" i="10"/>
  <c r="AD119" i="10"/>
  <c r="AC119" i="10"/>
  <c r="AC2" i="10"/>
  <c r="AD2" i="10"/>
  <c r="AE2" i="10"/>
  <c r="AF2" i="10"/>
  <c r="AG2" i="10"/>
  <c r="AH2" i="10"/>
  <c r="AC3" i="10"/>
  <c r="AD3" i="10"/>
  <c r="AE3" i="10"/>
  <c r="AF3" i="10"/>
  <c r="AG3" i="10"/>
  <c r="AH3" i="10"/>
  <c r="AC4" i="10"/>
  <c r="AD4" i="10"/>
  <c r="AE4" i="10"/>
  <c r="AF4" i="10"/>
  <c r="AG4" i="10"/>
  <c r="AH4" i="10"/>
  <c r="AC5" i="10"/>
  <c r="AD5" i="10"/>
  <c r="AE5" i="10"/>
  <c r="AF5" i="10"/>
  <c r="AG5" i="10"/>
  <c r="AH5" i="10"/>
  <c r="AC6" i="10"/>
  <c r="AD6" i="10"/>
  <c r="AE6" i="10"/>
  <c r="AF6" i="10"/>
  <c r="AG6" i="10"/>
  <c r="AH6" i="10"/>
  <c r="AC7" i="10"/>
  <c r="AD7" i="10"/>
  <c r="AE7" i="10"/>
  <c r="AF7" i="10"/>
  <c r="AG7" i="10"/>
  <c r="AH7" i="10"/>
  <c r="AC8" i="10"/>
  <c r="AD8" i="10"/>
  <c r="AE8" i="10"/>
  <c r="AF8" i="10"/>
  <c r="AG8" i="10"/>
  <c r="AH8" i="10"/>
  <c r="AC9" i="10"/>
  <c r="AD9" i="10"/>
  <c r="AE9" i="10"/>
  <c r="AF9" i="10"/>
  <c r="AG9" i="10"/>
  <c r="AH9" i="10"/>
  <c r="AC10" i="10"/>
  <c r="AD10" i="10"/>
  <c r="AE10" i="10"/>
  <c r="AF10" i="10"/>
  <c r="AG10" i="10"/>
  <c r="AH10" i="10"/>
  <c r="AC11" i="10"/>
  <c r="AD11" i="10"/>
  <c r="AE11" i="10"/>
  <c r="AF11" i="10"/>
  <c r="AG11" i="10"/>
  <c r="AH11" i="10"/>
  <c r="AC12" i="10"/>
  <c r="AD12" i="10"/>
  <c r="AE12" i="10"/>
  <c r="AF12" i="10"/>
  <c r="AG12" i="10"/>
  <c r="AH12" i="10"/>
  <c r="AC13" i="10"/>
  <c r="AD13" i="10"/>
  <c r="AE13" i="10"/>
  <c r="AF13" i="10"/>
  <c r="AG13" i="10"/>
  <c r="AH13" i="10"/>
  <c r="AC14" i="10"/>
  <c r="AD14" i="10"/>
  <c r="AE14" i="10"/>
  <c r="AF14" i="10"/>
  <c r="AG14" i="10"/>
  <c r="AH14" i="10"/>
  <c r="AC15" i="10"/>
  <c r="AD15" i="10"/>
  <c r="AE15" i="10"/>
  <c r="AF15" i="10"/>
  <c r="AG15" i="10"/>
  <c r="AH15" i="10"/>
  <c r="AC16" i="10"/>
  <c r="AD16" i="10"/>
  <c r="AE16" i="10"/>
  <c r="AF16" i="10"/>
  <c r="AG16" i="10"/>
  <c r="AH16" i="10"/>
  <c r="AC17" i="10"/>
  <c r="AD17" i="10"/>
  <c r="AE17" i="10"/>
  <c r="AF17" i="10"/>
  <c r="AG17" i="10"/>
  <c r="AH17" i="10"/>
  <c r="AC18" i="10"/>
  <c r="AD18" i="10"/>
  <c r="AE18" i="10"/>
  <c r="AF18" i="10"/>
  <c r="AG18" i="10"/>
  <c r="AH18" i="10"/>
  <c r="AC19" i="10"/>
  <c r="AD19" i="10"/>
  <c r="AE19" i="10"/>
  <c r="AF19" i="10"/>
  <c r="AG19" i="10"/>
  <c r="AH19" i="10"/>
  <c r="AC20" i="10"/>
  <c r="AD20" i="10"/>
  <c r="AE20" i="10"/>
  <c r="AF20" i="10"/>
  <c r="AG20" i="10"/>
  <c r="AH20" i="10"/>
  <c r="AC21" i="10"/>
  <c r="AD21" i="10"/>
  <c r="AE21" i="10"/>
  <c r="AF21" i="10"/>
  <c r="AG21" i="10"/>
  <c r="AH21" i="10"/>
  <c r="AC22" i="10"/>
  <c r="AD22" i="10"/>
  <c r="AE22" i="10"/>
  <c r="AF22" i="10"/>
  <c r="AG22" i="10"/>
  <c r="AH22" i="10"/>
  <c r="AC23" i="10"/>
  <c r="AD23" i="10"/>
  <c r="AE23" i="10"/>
  <c r="AF23" i="10"/>
  <c r="AG23" i="10"/>
  <c r="AH23" i="10"/>
  <c r="AC24" i="10"/>
  <c r="AD24" i="10"/>
  <c r="AE24" i="10"/>
  <c r="AF24" i="10"/>
  <c r="AG24" i="10"/>
  <c r="AH24" i="10"/>
  <c r="AC25" i="10"/>
  <c r="AD25" i="10"/>
  <c r="AE25" i="10"/>
  <c r="AF25" i="10"/>
  <c r="AG25" i="10"/>
  <c r="AH25" i="10"/>
  <c r="AC26" i="10"/>
  <c r="AD26" i="10"/>
  <c r="AE26" i="10"/>
  <c r="AF26" i="10"/>
  <c r="AG26" i="10"/>
  <c r="AH26" i="10"/>
  <c r="AC27" i="10"/>
  <c r="AD27" i="10"/>
  <c r="AE27" i="10"/>
  <c r="AF27" i="10"/>
  <c r="AG27" i="10"/>
  <c r="AH27" i="10"/>
  <c r="AC28" i="10"/>
  <c r="AD28" i="10"/>
  <c r="AE28" i="10"/>
  <c r="AF28" i="10"/>
  <c r="AG28" i="10"/>
  <c r="AH28" i="10"/>
  <c r="AC29" i="10"/>
  <c r="AD29" i="10"/>
  <c r="AE29" i="10"/>
  <c r="AF29" i="10"/>
  <c r="AG29" i="10"/>
  <c r="AH29" i="10"/>
  <c r="AC30" i="10"/>
  <c r="AD30" i="10"/>
  <c r="AE30" i="10"/>
  <c r="AF30" i="10"/>
  <c r="AG30" i="10"/>
  <c r="AH30" i="10"/>
  <c r="AC31" i="10"/>
  <c r="AD31" i="10"/>
  <c r="AE31" i="10"/>
  <c r="AF31" i="10"/>
  <c r="AG31" i="10"/>
  <c r="AH31" i="10"/>
  <c r="AC32" i="10"/>
  <c r="AD32" i="10"/>
  <c r="AE32" i="10"/>
  <c r="AF32" i="10"/>
  <c r="AG32" i="10"/>
  <c r="AH32" i="10"/>
  <c r="AC33" i="10"/>
  <c r="AD33" i="10"/>
  <c r="AE33" i="10"/>
  <c r="AF33" i="10"/>
  <c r="AG33" i="10"/>
  <c r="AH33" i="10"/>
  <c r="AC34" i="10"/>
  <c r="AD34" i="10"/>
  <c r="AE34" i="10"/>
  <c r="AF34" i="10"/>
  <c r="AG34" i="10"/>
  <c r="AH34" i="10"/>
  <c r="AC35" i="10"/>
  <c r="AD35" i="10"/>
  <c r="AE35" i="10"/>
  <c r="AF35" i="10"/>
  <c r="AG35" i="10"/>
  <c r="AH35" i="10"/>
  <c r="AC36" i="10"/>
  <c r="AD36" i="10"/>
  <c r="AE36" i="10"/>
  <c r="AF36" i="10"/>
  <c r="AG36" i="10"/>
  <c r="AH36" i="10"/>
  <c r="AC37" i="10"/>
  <c r="AD37" i="10"/>
  <c r="AE37" i="10"/>
  <c r="AF37" i="10"/>
  <c r="AG37" i="10"/>
  <c r="AH37" i="10"/>
  <c r="AC38" i="10"/>
  <c r="AD38" i="10"/>
  <c r="AE38" i="10"/>
  <c r="AF38" i="10"/>
  <c r="AG38" i="10"/>
  <c r="AH38" i="10"/>
  <c r="AC39" i="10"/>
  <c r="AD39" i="10"/>
  <c r="AE39" i="10"/>
  <c r="AF39" i="10"/>
  <c r="AG39" i="10"/>
  <c r="AH39" i="10"/>
  <c r="AC40" i="10"/>
  <c r="AD40" i="10"/>
  <c r="AE40" i="10"/>
  <c r="AF40" i="10"/>
  <c r="AG40" i="10"/>
  <c r="AH40" i="10"/>
  <c r="AC41" i="10"/>
  <c r="AD41" i="10"/>
  <c r="AE41" i="10"/>
  <c r="AF41" i="10"/>
  <c r="AG41" i="10"/>
  <c r="AH41" i="10"/>
  <c r="AC42" i="10"/>
  <c r="AD42" i="10"/>
  <c r="AE42" i="10"/>
  <c r="AF42" i="10"/>
  <c r="AG42" i="10"/>
  <c r="AH42" i="10"/>
  <c r="AC43" i="10"/>
  <c r="AD43" i="10"/>
  <c r="AE43" i="10"/>
  <c r="AF43" i="10"/>
  <c r="AG43" i="10"/>
  <c r="AH43" i="10"/>
  <c r="AC44" i="10"/>
  <c r="AD44" i="10"/>
  <c r="AE44" i="10"/>
  <c r="AF44" i="10"/>
  <c r="AG44" i="10"/>
  <c r="AH44" i="10"/>
  <c r="AC45" i="10"/>
  <c r="AD45" i="10"/>
  <c r="AE45" i="10"/>
  <c r="AF45" i="10"/>
  <c r="AG45" i="10"/>
  <c r="AH45" i="10"/>
  <c r="AC46" i="10"/>
  <c r="AD46" i="10"/>
  <c r="AE46" i="10"/>
  <c r="AF46" i="10"/>
  <c r="AG46" i="10"/>
  <c r="AH46" i="10"/>
  <c r="AC47" i="10"/>
  <c r="AD47" i="10"/>
  <c r="AE47" i="10"/>
  <c r="AF47" i="10"/>
  <c r="AG47" i="10"/>
  <c r="AH47" i="10"/>
  <c r="AC48" i="10"/>
  <c r="AD48" i="10"/>
  <c r="AE48" i="10"/>
  <c r="AF48" i="10"/>
  <c r="AG48" i="10"/>
  <c r="AH48" i="10"/>
  <c r="AC49" i="10"/>
  <c r="AD49" i="10"/>
  <c r="AE49" i="10"/>
  <c r="AF49" i="10"/>
  <c r="AG49" i="10"/>
  <c r="AH49" i="10"/>
  <c r="AC50" i="10"/>
  <c r="AD50" i="10"/>
  <c r="AE50" i="10"/>
  <c r="AF50" i="10"/>
  <c r="AG50" i="10"/>
  <c r="AH50" i="10"/>
  <c r="AC51" i="10"/>
  <c r="AD51" i="10"/>
  <c r="AE51" i="10"/>
  <c r="AF51" i="10"/>
  <c r="AG51" i="10"/>
  <c r="AH51" i="10"/>
  <c r="AC52" i="10"/>
  <c r="AD52" i="10"/>
  <c r="AE52" i="10"/>
  <c r="AF52" i="10"/>
  <c r="AG52" i="10"/>
  <c r="AH52" i="10"/>
  <c r="AC53" i="10"/>
  <c r="AD53" i="10"/>
  <c r="AE53" i="10"/>
  <c r="AF53" i="10"/>
  <c r="AG53" i="10"/>
  <c r="AH53" i="10"/>
  <c r="AC54" i="10"/>
  <c r="AD54" i="10"/>
  <c r="AE54" i="10"/>
  <c r="AF54" i="10"/>
  <c r="AG54" i="10"/>
  <c r="AH54" i="10"/>
  <c r="AC55" i="10"/>
  <c r="AD55" i="10"/>
  <c r="AE55" i="10"/>
  <c r="AF55" i="10"/>
  <c r="AG55" i="10"/>
  <c r="AH55" i="10"/>
  <c r="AC56" i="10"/>
  <c r="AD56" i="10"/>
  <c r="AE56" i="10"/>
  <c r="AF56" i="10"/>
  <c r="AG56" i="10"/>
  <c r="AH56" i="10"/>
  <c r="AC57" i="10"/>
  <c r="AD57" i="10"/>
  <c r="AE57" i="10"/>
  <c r="AF57" i="10"/>
  <c r="AG57" i="10"/>
  <c r="AH57" i="10"/>
  <c r="AC58" i="10"/>
  <c r="AD58" i="10"/>
  <c r="AE58" i="10"/>
  <c r="AF58" i="10"/>
  <c r="AG58" i="10"/>
  <c r="AH58" i="10"/>
  <c r="AC59" i="10"/>
  <c r="AD59" i="10"/>
  <c r="AE59" i="10"/>
  <c r="AF59" i="10"/>
  <c r="AG59" i="10"/>
  <c r="AH59" i="10"/>
  <c r="AC60" i="10"/>
  <c r="AD60" i="10"/>
  <c r="AE60" i="10"/>
  <c r="AF60" i="10"/>
  <c r="AG60" i="10"/>
  <c r="AH60" i="10"/>
  <c r="AC61" i="10"/>
  <c r="AD61" i="10"/>
  <c r="AE61" i="10"/>
  <c r="AF61" i="10"/>
  <c r="AG61" i="10"/>
  <c r="AH61" i="10"/>
  <c r="AC62" i="10"/>
  <c r="AD62" i="10"/>
  <c r="AE62" i="10"/>
  <c r="AF62" i="10"/>
  <c r="AG62" i="10"/>
  <c r="AH62" i="10"/>
  <c r="AC63" i="10"/>
  <c r="AD63" i="10"/>
  <c r="AE63" i="10"/>
  <c r="AF63" i="10"/>
  <c r="AG63" i="10"/>
  <c r="AH63" i="10"/>
  <c r="AC64" i="10"/>
  <c r="AD64" i="10"/>
  <c r="AE64" i="10"/>
  <c r="AF64" i="10"/>
  <c r="AG64" i="10"/>
  <c r="AH64" i="10"/>
  <c r="AC65" i="10"/>
  <c r="AD65" i="10"/>
  <c r="AE65" i="10"/>
  <c r="AF65" i="10"/>
  <c r="AG65" i="10"/>
  <c r="AH65" i="10"/>
  <c r="AC66" i="10"/>
  <c r="AD66" i="10"/>
  <c r="AE66" i="10"/>
  <c r="AF66" i="10"/>
  <c r="AG66" i="10"/>
  <c r="AH66" i="10"/>
  <c r="AC67" i="10"/>
  <c r="AD67" i="10"/>
  <c r="AE67" i="10"/>
  <c r="AF67" i="10"/>
  <c r="AG67" i="10"/>
  <c r="AH67" i="10"/>
  <c r="AC68" i="10"/>
  <c r="AD68" i="10"/>
  <c r="AE68" i="10"/>
  <c r="AF68" i="10"/>
  <c r="AG68" i="10"/>
  <c r="AH68" i="10"/>
  <c r="AC69" i="10"/>
  <c r="AD69" i="10"/>
  <c r="AE69" i="10"/>
  <c r="AF69" i="10"/>
  <c r="AG69" i="10"/>
  <c r="AH69" i="10"/>
  <c r="AC70" i="10"/>
  <c r="AD70" i="10"/>
  <c r="AE70" i="10"/>
  <c r="AF70" i="10"/>
  <c r="AG70" i="10"/>
  <c r="AH70" i="10"/>
  <c r="AC71" i="10"/>
  <c r="AD71" i="10"/>
  <c r="AE71" i="10"/>
  <c r="AF71" i="10"/>
  <c r="AG71" i="10"/>
  <c r="AH71" i="10"/>
  <c r="AC72" i="10"/>
  <c r="AD72" i="10"/>
  <c r="AE72" i="10"/>
  <c r="AF72" i="10"/>
  <c r="AG72" i="10"/>
  <c r="AH72" i="10"/>
  <c r="AC73" i="10"/>
  <c r="AD73" i="10"/>
  <c r="AE73" i="10"/>
  <c r="AF73" i="10"/>
  <c r="AG73" i="10"/>
  <c r="AH73" i="10"/>
  <c r="AC74" i="10"/>
  <c r="AD74" i="10"/>
  <c r="AE74" i="10"/>
  <c r="AF74" i="10"/>
  <c r="AG74" i="10"/>
  <c r="AH74" i="10"/>
  <c r="AC75" i="10"/>
  <c r="AD75" i="10"/>
  <c r="AE75" i="10"/>
  <c r="AF75" i="10"/>
  <c r="AG75" i="10"/>
  <c r="AH75" i="10"/>
  <c r="AC76" i="10"/>
  <c r="AD76" i="10"/>
  <c r="AE76" i="10"/>
  <c r="AF76" i="10"/>
  <c r="AG76" i="10"/>
  <c r="AH76" i="10"/>
  <c r="AC77" i="10"/>
  <c r="AD77" i="10"/>
  <c r="AE77" i="10"/>
  <c r="AF77" i="10"/>
  <c r="AG77" i="10"/>
  <c r="AH77" i="10"/>
  <c r="AC78" i="10"/>
  <c r="AD78" i="10"/>
  <c r="AE78" i="10"/>
  <c r="AF78" i="10"/>
  <c r="AG78" i="10"/>
  <c r="AH78" i="10"/>
  <c r="AC79" i="10"/>
  <c r="AD79" i="10"/>
  <c r="AE79" i="10"/>
  <c r="AF79" i="10"/>
  <c r="AG79" i="10"/>
  <c r="AH79" i="10"/>
  <c r="AC80" i="10"/>
  <c r="AD80" i="10"/>
  <c r="AE80" i="10"/>
  <c r="AF80" i="10"/>
  <c r="AG80" i="10"/>
  <c r="AH80" i="10"/>
  <c r="AC81" i="10"/>
  <c r="AD81" i="10"/>
  <c r="AE81" i="10"/>
  <c r="AF81" i="10"/>
  <c r="AG81" i="10"/>
  <c r="AH81" i="10"/>
  <c r="AC82" i="10"/>
  <c r="AD82" i="10"/>
  <c r="AE82" i="10"/>
  <c r="AF82" i="10"/>
  <c r="AG82" i="10"/>
  <c r="AH82" i="10"/>
  <c r="AC83" i="10"/>
  <c r="AD83" i="10"/>
  <c r="AE83" i="10"/>
  <c r="AF83" i="10"/>
  <c r="AG83" i="10"/>
  <c r="AH83" i="10"/>
  <c r="AC84" i="10"/>
  <c r="AD84" i="10"/>
  <c r="AE84" i="10"/>
  <c r="AF84" i="10"/>
  <c r="AG84" i="10"/>
  <c r="AH84" i="10"/>
  <c r="AC85" i="10"/>
  <c r="AD85" i="10"/>
  <c r="AE85" i="10"/>
  <c r="AF85" i="10"/>
  <c r="AG85" i="10"/>
  <c r="AH85" i="10"/>
  <c r="AC86" i="10"/>
  <c r="AD86" i="10"/>
  <c r="AE86" i="10"/>
  <c r="AF86" i="10"/>
  <c r="AG86" i="10"/>
  <c r="AH86" i="10"/>
  <c r="AC87" i="10"/>
  <c r="AD87" i="10"/>
  <c r="AE87" i="10"/>
  <c r="AF87" i="10"/>
  <c r="AG87" i="10"/>
  <c r="AH87" i="10"/>
  <c r="AC88" i="10"/>
  <c r="AD88" i="10"/>
  <c r="AE88" i="10"/>
  <c r="AF88" i="10"/>
  <c r="AG88" i="10"/>
  <c r="AH88" i="10"/>
  <c r="AC89" i="10"/>
  <c r="AD89" i="10"/>
  <c r="AE89" i="10"/>
  <c r="AF89" i="10"/>
  <c r="AG89" i="10"/>
  <c r="AH89" i="10"/>
  <c r="AC90" i="10"/>
  <c r="AD90" i="10"/>
  <c r="AE90" i="10"/>
  <c r="AF90" i="10"/>
  <c r="AG90" i="10"/>
  <c r="AH90" i="10"/>
  <c r="AC91" i="10"/>
  <c r="AD91" i="10"/>
  <c r="AE91" i="10"/>
  <c r="AF91" i="10"/>
  <c r="AG91" i="10"/>
  <c r="AH91" i="10"/>
  <c r="AC92" i="10"/>
  <c r="AD92" i="10"/>
  <c r="AE92" i="10"/>
  <c r="AF92" i="10"/>
  <c r="AG92" i="10"/>
  <c r="AH92" i="10"/>
  <c r="AC93" i="10"/>
  <c r="AD93" i="10"/>
  <c r="AE93" i="10"/>
  <c r="AF93" i="10"/>
  <c r="AG93" i="10"/>
  <c r="AH93" i="10"/>
  <c r="AC94" i="10"/>
  <c r="AD94" i="10"/>
  <c r="AE94" i="10"/>
  <c r="AF94" i="10"/>
  <c r="AG94" i="10"/>
  <c r="AH94" i="10"/>
  <c r="AC95" i="10"/>
  <c r="AD95" i="10"/>
  <c r="AE95" i="10"/>
  <c r="AF95" i="10"/>
  <c r="AG95" i="10"/>
  <c r="AH95" i="10"/>
  <c r="AC96" i="10"/>
  <c r="AD96" i="10"/>
  <c r="AE96" i="10"/>
  <c r="AF96" i="10"/>
  <c r="AG96" i="10"/>
  <c r="AH96" i="10"/>
  <c r="AC97" i="10"/>
  <c r="AD97" i="10"/>
  <c r="AE97" i="10"/>
  <c r="AF97" i="10"/>
  <c r="AG97" i="10"/>
  <c r="AH97" i="10"/>
  <c r="AC98" i="10"/>
  <c r="AD98" i="10"/>
  <c r="AE98" i="10"/>
  <c r="AF98" i="10"/>
  <c r="AG98" i="10"/>
  <c r="AH98" i="10"/>
  <c r="AC99" i="10"/>
  <c r="AD99" i="10"/>
  <c r="AE99" i="10"/>
  <c r="AF99" i="10"/>
  <c r="AG99" i="10"/>
  <c r="AH99" i="10"/>
  <c r="AC100" i="10"/>
  <c r="AD100" i="10"/>
  <c r="AE100" i="10"/>
  <c r="AF100" i="10"/>
  <c r="AG100" i="10"/>
  <c r="AH100" i="10"/>
  <c r="AC101" i="10"/>
  <c r="AD101" i="10"/>
  <c r="AE101" i="10"/>
  <c r="AF101" i="10"/>
  <c r="AG101" i="10"/>
  <c r="AH101" i="10"/>
  <c r="AC102" i="10"/>
  <c r="AD102" i="10"/>
  <c r="AE102" i="10"/>
  <c r="AF102" i="10"/>
  <c r="AG102" i="10"/>
  <c r="AH102" i="10"/>
  <c r="AC103" i="10"/>
  <c r="AD103" i="10"/>
  <c r="AE103" i="10"/>
  <c r="AF103" i="10"/>
  <c r="AG103" i="10"/>
  <c r="AH103" i="10"/>
  <c r="AC104" i="10"/>
  <c r="AD104" i="10"/>
  <c r="AE104" i="10"/>
  <c r="AF104" i="10"/>
  <c r="AG104" i="10"/>
  <c r="AH104" i="10"/>
  <c r="AC105" i="10"/>
  <c r="AD105" i="10"/>
  <c r="AE105" i="10"/>
  <c r="AF105" i="10"/>
  <c r="AG105" i="10"/>
  <c r="AH105" i="10"/>
  <c r="AC106" i="10"/>
  <c r="AD106" i="10"/>
  <c r="AE106" i="10"/>
  <c r="AF106" i="10"/>
  <c r="AG106" i="10"/>
  <c r="AH106" i="10"/>
  <c r="AC107" i="10"/>
  <c r="AD107" i="10"/>
  <c r="AE107" i="10"/>
  <c r="AF107" i="10"/>
  <c r="AG107" i="10"/>
  <c r="AH107" i="10"/>
  <c r="AC108" i="10"/>
  <c r="AD108" i="10"/>
  <c r="AE108" i="10"/>
  <c r="AF108" i="10"/>
  <c r="AG108" i="10"/>
  <c r="AH108" i="10"/>
  <c r="AC109" i="10"/>
  <c r="AD109" i="10"/>
  <c r="AE109" i="10"/>
  <c r="AF109" i="10"/>
  <c r="AG109" i="10"/>
  <c r="AH109" i="10"/>
  <c r="AC110" i="10"/>
  <c r="AD110" i="10"/>
  <c r="AE110" i="10"/>
  <c r="AF110" i="10"/>
  <c r="AG110" i="10"/>
  <c r="AH110" i="10"/>
  <c r="AC111" i="10"/>
  <c r="AD111" i="10"/>
  <c r="AE111" i="10"/>
  <c r="AF111" i="10"/>
  <c r="AG111" i="10"/>
  <c r="AH111" i="10"/>
  <c r="AC112" i="10"/>
  <c r="AD112" i="10"/>
  <c r="AE112" i="10"/>
  <c r="AF112" i="10"/>
  <c r="AG112" i="10"/>
  <c r="AH112" i="10"/>
  <c r="AC113" i="10"/>
  <c r="AD113" i="10"/>
  <c r="AE113" i="10"/>
  <c r="AF113" i="10"/>
  <c r="AG113" i="10"/>
  <c r="AH113" i="10"/>
  <c r="AC114" i="10"/>
  <c r="AD114" i="10"/>
  <c r="AE114" i="10"/>
  <c r="AF114" i="10"/>
  <c r="AG114" i="10"/>
  <c r="AH114" i="10"/>
  <c r="AC115" i="10"/>
  <c r="AD115" i="10"/>
  <c r="AE115" i="10"/>
  <c r="AF115" i="10"/>
  <c r="AG115" i="10"/>
  <c r="AH115" i="10"/>
  <c r="AC116" i="10"/>
  <c r="AD116" i="10"/>
  <c r="AE116" i="10"/>
  <c r="AF116" i="10"/>
  <c r="AG116" i="10"/>
  <c r="AH116" i="10"/>
  <c r="AC117" i="10"/>
  <c r="AD117" i="10"/>
  <c r="AE117" i="10"/>
  <c r="AF117" i="10"/>
  <c r="AG117" i="10"/>
  <c r="AH117" i="10"/>
  <c r="AC118" i="10"/>
  <c r="AD118" i="10"/>
  <c r="AE118" i="10"/>
  <c r="AF118" i="10"/>
  <c r="AG118" i="10"/>
  <c r="AH118" i="10"/>
  <c r="AJ44" i="10" l="1"/>
  <c r="AJ69" i="10"/>
  <c r="AK59" i="10"/>
  <c r="AI131" i="10"/>
  <c r="AK131" i="10"/>
  <c r="AJ20" i="10"/>
  <c r="AJ33" i="10"/>
  <c r="AI54" i="10"/>
  <c r="AJ84" i="10"/>
  <c r="AK100" i="10"/>
  <c r="AK94" i="10"/>
  <c r="AJ7" i="10"/>
  <c r="AJ56" i="10"/>
  <c r="AJ59" i="10"/>
  <c r="AJ13" i="10"/>
  <c r="AI37" i="10"/>
  <c r="AI106" i="10"/>
  <c r="AI13" i="10"/>
  <c r="AI127" i="10"/>
  <c r="AI23" i="10"/>
  <c r="AI5" i="10"/>
  <c r="AK97" i="10"/>
  <c r="AI102" i="10"/>
  <c r="AI44" i="10"/>
  <c r="AI20" i="10"/>
  <c r="AK102" i="10"/>
  <c r="AI136" i="10"/>
  <c r="AI74" i="10"/>
  <c r="AK17" i="10"/>
  <c r="AJ49" i="10"/>
  <c r="AI8" i="10"/>
  <c r="AI15" i="10"/>
  <c r="AI109" i="10"/>
  <c r="AK109" i="10"/>
  <c r="AK85" i="10"/>
  <c r="AI51" i="10"/>
  <c r="AI69" i="10"/>
  <c r="AI33" i="10"/>
  <c r="AI59" i="10"/>
  <c r="AI55" i="10"/>
  <c r="AJ104" i="10"/>
  <c r="AI81" i="10"/>
  <c r="AI100" i="10"/>
  <c r="AI84" i="10"/>
  <c r="AI118" i="10"/>
  <c r="AI114" i="10"/>
  <c r="AJ106" i="10"/>
  <c r="AI130" i="10"/>
  <c r="AJ109" i="10"/>
  <c r="AI94" i="10"/>
  <c r="AJ137" i="10"/>
  <c r="AJ9" i="10"/>
  <c r="AI117" i="10"/>
  <c r="AK67" i="10"/>
  <c r="AJ42" i="10"/>
  <c r="AK48" i="10"/>
  <c r="AI96" i="10"/>
  <c r="AK74" i="10"/>
  <c r="AJ54" i="10"/>
  <c r="AJ51" i="10"/>
  <c r="AK37" i="10"/>
  <c r="AJ37" i="10"/>
  <c r="AI134" i="10"/>
  <c r="AI88" i="10"/>
  <c r="AJ131" i="10"/>
  <c r="AJ23" i="10"/>
  <c r="AJ100" i="10"/>
  <c r="AI7" i="10"/>
  <c r="AK23" i="10"/>
  <c r="AJ102" i="10"/>
  <c r="AJ81" i="10"/>
  <c r="AK57" i="10"/>
  <c r="AK49" i="10"/>
  <c r="AJ94" i="10"/>
  <c r="AI58" i="10"/>
  <c r="AK98" i="10"/>
  <c r="AK50" i="10"/>
  <c r="AJ4" i="10"/>
  <c r="AI116" i="10"/>
  <c r="AI115" i="10"/>
  <c r="AJ115" i="10"/>
  <c r="AJ68" i="10"/>
  <c r="AK115" i="10"/>
  <c r="AI48" i="10"/>
  <c r="AJ48" i="10"/>
  <c r="AI103" i="10"/>
  <c r="AJ103" i="10"/>
  <c r="AJ5" i="10"/>
  <c r="AI83" i="10"/>
  <c r="AJ83" i="10"/>
  <c r="AK2" i="10"/>
  <c r="AJ114" i="10"/>
  <c r="AK83" i="10"/>
  <c r="AI62" i="10"/>
  <c r="AJ62" i="10"/>
  <c r="AK9" i="10"/>
  <c r="AK77" i="10"/>
  <c r="AK51" i="10"/>
  <c r="AI16" i="10"/>
  <c r="AJ16" i="10"/>
  <c r="AJ116" i="10"/>
  <c r="AI85" i="10"/>
  <c r="AJ85" i="10"/>
  <c r="AJ91" i="10"/>
  <c r="AI77" i="10"/>
  <c r="AJ77" i="10"/>
  <c r="AJ90" i="10"/>
  <c r="AI90" i="10"/>
  <c r="AI64" i="10"/>
  <c r="AJ64" i="10"/>
  <c r="AI29" i="10"/>
  <c r="AJ29" i="10"/>
  <c r="AI104" i="10"/>
  <c r="AJ75" i="10"/>
  <c r="AI75" i="10"/>
  <c r="AK29" i="10"/>
  <c r="AK95" i="10"/>
  <c r="AI97" i="10"/>
  <c r="AJ97" i="10"/>
  <c r="AJ98" i="10"/>
  <c r="AK65" i="10"/>
  <c r="AJ112" i="10"/>
  <c r="AI112" i="10"/>
  <c r="AK112" i="10"/>
  <c r="AI108" i="10"/>
  <c r="AJ96" i="10"/>
  <c r="AJ74" i="10"/>
  <c r="AJ36" i="10"/>
  <c r="AI36" i="10"/>
  <c r="AI34" i="10"/>
  <c r="AJ34" i="10"/>
  <c r="AK7" i="10"/>
  <c r="AK104" i="10"/>
  <c r="AI21" i="10"/>
  <c r="AJ21" i="10"/>
  <c r="AK122" i="10"/>
  <c r="AJ126" i="10"/>
  <c r="AI41" i="10"/>
  <c r="AJ41" i="10"/>
  <c r="AI67" i="10"/>
  <c r="AJ67" i="10"/>
  <c r="AI65" i="10"/>
  <c r="AJ65" i="10"/>
  <c r="AK80" i="10"/>
  <c r="AI80" i="10"/>
  <c r="AI78" i="10"/>
  <c r="AJ78" i="10"/>
  <c r="AK137" i="10"/>
  <c r="AI45" i="10"/>
  <c r="AK5" i="10"/>
  <c r="AK117" i="10"/>
  <c r="AJ15" i="10"/>
  <c r="AK119" i="10"/>
  <c r="AK123" i="10"/>
  <c r="AI28" i="10"/>
  <c r="AJ8" i="10"/>
  <c r="AK32" i="10"/>
  <c r="AI42" i="10"/>
  <c r="AK79" i="10"/>
  <c r="AK42" i="10"/>
  <c r="AK54" i="10"/>
  <c r="AK134" i="10"/>
  <c r="AJ130" i="10"/>
  <c r="AK86" i="10"/>
  <c r="AI9" i="10"/>
  <c r="AI76" i="10"/>
  <c r="AI137" i="10"/>
  <c r="AJ136" i="10"/>
  <c r="AI56" i="10"/>
  <c r="AK116" i="10"/>
  <c r="AK81" i="10"/>
  <c r="AI98" i="10"/>
  <c r="AK92" i="10"/>
  <c r="AI99" i="10"/>
  <c r="AJ99" i="10"/>
  <c r="AI101" i="10"/>
  <c r="AJ101" i="10"/>
  <c r="AK73" i="10"/>
  <c r="AJ35" i="10"/>
  <c r="AI111" i="10"/>
  <c r="AJ111" i="10"/>
  <c r="AI22" i="10"/>
  <c r="AJ22" i="10"/>
  <c r="AK27" i="10"/>
  <c r="AI113" i="10"/>
  <c r="AJ113" i="10"/>
  <c r="AI70" i="10"/>
  <c r="AJ70" i="10"/>
  <c r="AK30" i="10"/>
  <c r="AK113" i="10"/>
  <c r="AI82" i="10"/>
  <c r="AJ82" i="10"/>
  <c r="AK90" i="10"/>
  <c r="AK62" i="10"/>
  <c r="AK25" i="10"/>
  <c r="AI133" i="10"/>
  <c r="AJ133" i="10"/>
  <c r="AK55" i="10"/>
  <c r="AK40" i="10"/>
  <c r="AI125" i="10"/>
  <c r="AJ125" i="10"/>
  <c r="AK125" i="10"/>
  <c r="AK130" i="10"/>
  <c r="AJ58" i="10"/>
  <c r="AJ117" i="10"/>
  <c r="AI91" i="10"/>
  <c r="AJ80" i="10"/>
  <c r="AI68" i="10"/>
  <c r="AI57" i="10"/>
  <c r="AJ57" i="10"/>
  <c r="AI2" i="10"/>
  <c r="AJ2" i="10"/>
  <c r="AK76" i="10"/>
  <c r="AK88" i="10"/>
  <c r="AK135" i="10"/>
  <c r="AI107" i="10"/>
  <c r="AJ107" i="10"/>
  <c r="AJ55" i="10"/>
  <c r="AK87" i="10"/>
  <c r="AI46" i="10"/>
  <c r="AJ46" i="10"/>
  <c r="AK43" i="10"/>
  <c r="AK33" i="10"/>
  <c r="AI73" i="10"/>
  <c r="AJ73" i="10"/>
  <c r="AJ135" i="10"/>
  <c r="AK38" i="10"/>
  <c r="AK53" i="10"/>
  <c r="AK15" i="10"/>
  <c r="AK18" i="10"/>
  <c r="AK11" i="10"/>
  <c r="AK70" i="10"/>
  <c r="AK82" i="10"/>
  <c r="AK106" i="10"/>
  <c r="AI89" i="10"/>
  <c r="AJ89" i="10"/>
  <c r="AK58" i="10"/>
  <c r="AK46" i="10"/>
  <c r="AI24" i="10"/>
  <c r="AJ24" i="10"/>
  <c r="AI38" i="10"/>
  <c r="AJ38" i="10"/>
  <c r="AI12" i="10"/>
  <c r="AJ12" i="10"/>
  <c r="AK101" i="10"/>
  <c r="AK35" i="10"/>
  <c r="AK12" i="10"/>
  <c r="AI126" i="10"/>
  <c r="AI53" i="10"/>
  <c r="AJ53" i="10"/>
  <c r="AK22" i="10"/>
  <c r="AK126" i="10"/>
  <c r="AI105" i="10"/>
  <c r="AJ105" i="10"/>
  <c r="AI63" i="10"/>
  <c r="AJ63" i="10"/>
  <c r="AK105" i="10"/>
  <c r="AK63" i="10"/>
  <c r="AI26" i="10"/>
  <c r="AJ26" i="10"/>
  <c r="AI18" i="10"/>
  <c r="AJ18" i="10"/>
  <c r="AK26" i="10"/>
  <c r="AI11" i="10"/>
  <c r="AJ11" i="10"/>
  <c r="AJ110" i="10"/>
  <c r="AI110" i="10"/>
  <c r="AK107" i="10"/>
  <c r="AK66" i="10"/>
  <c r="AI71" i="10"/>
  <c r="AJ71" i="10"/>
  <c r="AK71" i="10"/>
  <c r="AI27" i="10"/>
  <c r="AJ27" i="10"/>
  <c r="AK52" i="10"/>
  <c r="AI17" i="10"/>
  <c r="AJ17" i="10"/>
  <c r="AK103" i="10"/>
  <c r="AI4" i="10"/>
  <c r="AK14" i="10"/>
  <c r="AI10" i="10"/>
  <c r="AJ10" i="10"/>
  <c r="AI128" i="10"/>
  <c r="AJ128" i="10"/>
  <c r="AK128" i="10"/>
  <c r="AK133" i="10"/>
  <c r="AI43" i="10"/>
  <c r="AJ43" i="10"/>
  <c r="AJ108" i="10"/>
  <c r="AK89" i="10"/>
  <c r="AI61" i="10"/>
  <c r="AJ61" i="10"/>
  <c r="AK45" i="10"/>
  <c r="AI39" i="10"/>
  <c r="AJ39" i="10"/>
  <c r="AK36" i="10"/>
  <c r="AK24" i="10"/>
  <c r="AI129" i="10"/>
  <c r="AJ129" i="10"/>
  <c r="AI135" i="10"/>
  <c r="AI66" i="10"/>
  <c r="AJ66" i="10"/>
  <c r="AI49" i="10"/>
  <c r="AI14" i="10"/>
  <c r="AJ14" i="10"/>
  <c r="AI93" i="10"/>
  <c r="AJ93" i="10"/>
  <c r="AJ88" i="10"/>
  <c r="AJ76" i="10"/>
  <c r="AK69" i="10"/>
  <c r="AK61" i="10"/>
  <c r="AJ45" i="10"/>
  <c r="AI35" i="10"/>
  <c r="AI6" i="10"/>
  <c r="AJ6" i="10"/>
  <c r="AK129" i="10"/>
  <c r="AK8" i="10"/>
  <c r="AK110" i="10"/>
  <c r="AI52" i="10"/>
  <c r="AJ52" i="10"/>
  <c r="AI30" i="10"/>
  <c r="AJ30" i="10"/>
  <c r="AK118" i="10"/>
  <c r="AK91" i="10"/>
  <c r="AK68" i="10"/>
  <c r="AJ28" i="10"/>
  <c r="AK6" i="10"/>
  <c r="AI132" i="10"/>
  <c r="AJ132" i="10"/>
  <c r="AK132" i="10"/>
  <c r="AK99" i="10"/>
  <c r="AI40" i="10"/>
  <c r="AJ40" i="10"/>
  <c r="AI87" i="10"/>
  <c r="AJ87" i="10"/>
  <c r="AI95" i="10"/>
  <c r="AJ95" i="10"/>
  <c r="AI50" i="10"/>
  <c r="AJ50" i="10"/>
  <c r="AI32" i="10"/>
  <c r="AJ32" i="10"/>
  <c r="AJ127" i="10"/>
  <c r="AJ118" i="10"/>
  <c r="AI86" i="10"/>
  <c r="AJ86" i="10"/>
  <c r="AK84" i="10"/>
  <c r="AK56" i="10"/>
  <c r="AK39" i="10"/>
  <c r="AK127" i="10"/>
  <c r="AI25" i="10"/>
  <c r="AJ25" i="10"/>
  <c r="AK21" i="10"/>
  <c r="AK111" i="10"/>
  <c r="AK108" i="10"/>
  <c r="AK93" i="10"/>
  <c r="AI47" i="10"/>
  <c r="AJ47" i="10"/>
  <c r="AK44" i="10"/>
  <c r="AK41" i="10"/>
  <c r="AK4" i="10"/>
  <c r="AK114" i="10"/>
  <c r="AK96" i="10"/>
  <c r="AI72" i="10"/>
  <c r="AJ72" i="10"/>
  <c r="AK64" i="10"/>
  <c r="AK47" i="10"/>
  <c r="AK72" i="10"/>
  <c r="AI31" i="10"/>
  <c r="AJ31" i="10"/>
  <c r="AK28" i="10"/>
  <c r="AK10" i="10"/>
  <c r="AK31" i="10"/>
  <c r="AK20" i="10"/>
  <c r="AI60" i="10"/>
  <c r="AJ60" i="10"/>
  <c r="AI19" i="10"/>
  <c r="AJ19" i="10"/>
  <c r="AK16" i="10"/>
  <c r="AK13" i="10"/>
  <c r="AI3" i="10"/>
  <c r="AJ3" i="10"/>
  <c r="AI92" i="10"/>
  <c r="AJ92" i="10"/>
  <c r="AI79" i="10"/>
  <c r="AJ79" i="10"/>
  <c r="AK78" i="10"/>
  <c r="AK75" i="10"/>
  <c r="AK60" i="10"/>
  <c r="AK34" i="10"/>
  <c r="AK19" i="10"/>
  <c r="AK3" i="10"/>
  <c r="AK136" i="10"/>
  <c r="AK121" i="10"/>
  <c r="AK120" i="10"/>
  <c r="AK124" i="10"/>
  <c r="AJ134" i="10"/>
  <c r="AJ119" i="10"/>
  <c r="AI119" i="10"/>
  <c r="AJ120" i="10"/>
  <c r="AI120" i="10"/>
  <c r="AJ121" i="10"/>
  <c r="AI121" i="10"/>
  <c r="AJ122" i="10"/>
  <c r="AI122" i="10"/>
  <c r="AJ123" i="10"/>
  <c r="AI123" i="10"/>
  <c r="AJ124" i="10"/>
  <c r="AI12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tc={D2803BFB-1AF8-4EF3-843C-F25CB02A9D0B}</author>
  </authors>
  <commentList>
    <comment ref="V1" authorId="0" shapeId="0" xr:uid="{D2803BFB-1AF8-4EF3-843C-F25CB02A9D0B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tc={7A100929-1E92-4646-BED4-B77576878804}</author>
  </authors>
  <commentList>
    <comment ref="W1" authorId="0" shapeId="0" xr:uid="{7A100929-1E92-4646-BED4-B77576878804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tc={54F5398C-E8A9-47B7-B6B2-F6364403F987}</author>
    <author>tc={08D716E5-98B2-4AC8-8836-D0CD640F348A}</author>
  </authors>
  <commentList>
    <comment ref="U1" authorId="0" shapeId="0" xr:uid="{54F5398C-E8A9-47B7-B6B2-F6364403F987}">
      <text>
        <t>[Threaded comment]
Your version of Excel allows you to read this threaded comment; however, any edits to it will get removed if the file is opened in a newer version of Excel. Learn more: https://go.microsoft.com/fwlink/?linkid=870924
Comment:
    On daily tab, need to confirm with Jessie how to report? (i.e, mean, max)</t>
      </text>
    </comment>
    <comment ref="U8" authorId="1" shapeId="0" xr:uid="{08D716E5-98B2-4AC8-8836-D0CD640F34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reanalyze with 25 cutoff</t>
      </text>
    </comment>
  </commentList>
</comments>
</file>

<file path=xl/sharedStrings.xml><?xml version="1.0" encoding="utf-8"?>
<sst xmlns="http://schemas.openxmlformats.org/spreadsheetml/2006/main" count="1397" uniqueCount="173">
  <si>
    <t>State</t>
  </si>
  <si>
    <t>Park Code</t>
  </si>
  <si>
    <t>Threshold</t>
  </si>
  <si>
    <t>Site Name</t>
  </si>
  <si>
    <t>Site Code</t>
  </si>
  <si>
    <t>Transect</t>
  </si>
  <si>
    <t>date_start</t>
  </si>
  <si>
    <t>date_end</t>
  </si>
  <si>
    <t>Total_HDH</t>
  </si>
  <si>
    <t>Total_CDH</t>
  </si>
  <si>
    <t>Mean_HDH_daily</t>
  </si>
  <si>
    <t>Mean_CDH_daily</t>
  </si>
  <si>
    <t>Max_HDH_daily</t>
  </si>
  <si>
    <t>mean_temp</t>
  </si>
  <si>
    <t>max_temp</t>
  </si>
  <si>
    <t>min_temp</t>
  </si>
  <si>
    <t>Duration_warmest_period_days</t>
  </si>
  <si>
    <t>Number_warming_events</t>
  </si>
  <si>
    <t>Mean_warming_event_duration_days</t>
  </si>
  <si>
    <t>SE_warming_event_duration_days</t>
  </si>
  <si>
    <t>n_days</t>
  </si>
  <si>
    <t>%_abv_thres</t>
  </si>
  <si>
    <t>Depth?</t>
  </si>
  <si>
    <t>Lat (WGS 84)</t>
  </si>
  <si>
    <t>Long (WGS 84)</t>
  </si>
  <si>
    <t>Notes</t>
  </si>
  <si>
    <t>Analysis</t>
  </si>
  <si>
    <t>Distance to Inlet (km)</t>
  </si>
  <si>
    <t>MA</t>
  </si>
  <si>
    <t>CACO</t>
  </si>
  <si>
    <t>Pleasant Bay</t>
  </si>
  <si>
    <t>CACO_Seagrass_MA20_2</t>
  </si>
  <si>
    <t>A</t>
  </si>
  <si>
    <t>Used csv R script because of long datasets</t>
  </si>
  <si>
    <t>K. Button</t>
  </si>
  <si>
    <t>B</t>
  </si>
  <si>
    <t>A. Brown</t>
  </si>
  <si>
    <t>C</t>
  </si>
  <si>
    <t>Duck Harbor</t>
  </si>
  <si>
    <t>CACO_Seagrass_MA20_1</t>
  </si>
  <si>
    <t>Uncorrected- before logger exposures removed</t>
  </si>
  <si>
    <t>Uncorrected- no logger exposures removed</t>
  </si>
  <si>
    <t>East Harbor</t>
  </si>
  <si>
    <t>CACO_EH_Lagoon</t>
  </si>
  <si>
    <t>NA</t>
  </si>
  <si>
    <t>Not a seagrassnet transect</t>
  </si>
  <si>
    <t>MD</t>
  </si>
  <si>
    <t>ASIS</t>
  </si>
  <si>
    <t>Gray's Cove</t>
  </si>
  <si>
    <t>ASIS_Seagrass_Grays_Cove</t>
  </si>
  <si>
    <t>Wildcat</t>
  </si>
  <si>
    <t>ASIS_Seagrass_wildcat</t>
  </si>
  <si>
    <t>Tingles Island</t>
  </si>
  <si>
    <t>ASIS_Seagrass Tingles Island</t>
  </si>
  <si>
    <t>NY</t>
  </si>
  <si>
    <t>FIIS</t>
  </si>
  <si>
    <t>Moriches Bay (Great Gun)</t>
  </si>
  <si>
    <t>FIIS_Seagrass_MB</t>
  </si>
  <si>
    <t>Shortened 2021 and 2023 data periods</t>
  </si>
  <si>
    <t>Shortened 2021 data period</t>
  </si>
  <si>
    <t>Shortened 2021 and 2024 data periods</t>
  </si>
  <si>
    <t>Great South Bay (Ho Hum Beach)</t>
  </si>
  <si>
    <t>FIIS_Seagrass_GSB</t>
  </si>
  <si>
    <t>CT</t>
  </si>
  <si>
    <t>Beebe Cove</t>
  </si>
  <si>
    <t>NCBN_OP_ERP_CT-BC</t>
  </si>
  <si>
    <t>Madaket</t>
  </si>
  <si>
    <t>NCBN_OP_ERP_MA-MK</t>
  </si>
  <si>
    <t>Monomoy</t>
  </si>
  <si>
    <t>NCBN_OP_ERP_MA-T1</t>
  </si>
  <si>
    <t>Monomoy run with both 25 and 28.6 thresholds to compare</t>
  </si>
  <si>
    <t>West Island</t>
  </si>
  <si>
    <t>NCBN_OP_ERP_MA-WI</t>
  </si>
  <si>
    <t>BOHA</t>
  </si>
  <si>
    <t>Winthrop</t>
  </si>
  <si>
    <t>NCBN_OP_ERP_MA-WT</t>
  </si>
  <si>
    <t>ME</t>
  </si>
  <si>
    <t>Kettle Cove</t>
  </si>
  <si>
    <t>NCBN_OP_ERP_ME-KC</t>
  </si>
  <si>
    <t>Cousins- Littlejohn</t>
  </si>
  <si>
    <t>NCBN_OP_ERP_ME-LJ</t>
  </si>
  <si>
    <t>Martin's Point</t>
  </si>
  <si>
    <t>NCBN_OP_ERP_ME-MP</t>
  </si>
  <si>
    <t>Mackworth North</t>
  </si>
  <si>
    <t>NCBN_OP_ERP_ME-MW</t>
  </si>
  <si>
    <t>ACAD</t>
  </si>
  <si>
    <t>Sand Cove</t>
  </si>
  <si>
    <t>NCBN_OP_ERP_ME-SC</t>
  </si>
  <si>
    <t>Fisher's Island</t>
  </si>
  <si>
    <t>NCBN_OP_ERP_NY-FI</t>
  </si>
  <si>
    <t>RI</t>
  </si>
  <si>
    <t>Fort Wetherill</t>
  </si>
  <si>
    <t>NCBN_OP_ERP_RI-FW</t>
  </si>
  <si>
    <t>Ninigret Pond</t>
  </si>
  <si>
    <t>NCBN_OP_ERP_RI-NP</t>
  </si>
  <si>
    <t>VA</t>
  </si>
  <si>
    <t>Four Points</t>
  </si>
  <si>
    <t>NCBN_OP_ERP_VA-FPM</t>
  </si>
  <si>
    <t>Hungars Creek</t>
  </si>
  <si>
    <t>NCBN_OP_ERP_VA-HC</t>
  </si>
  <si>
    <t>NC</t>
  </si>
  <si>
    <t>CAHA</t>
  </si>
  <si>
    <t>Avon North</t>
  </si>
  <si>
    <t>NCBN_OP_ERP_NC-AV</t>
  </si>
  <si>
    <t>Gull Island</t>
  </si>
  <si>
    <t>NCBN_OP_ERP_NC-GI</t>
  </si>
  <si>
    <t>Stonington</t>
  </si>
  <si>
    <t>NCBN_OP_ERP_CT-ST</t>
  </si>
  <si>
    <t>Holmes Bay</t>
  </si>
  <si>
    <t>NCBN_OP_ERP_ME-HB</t>
  </si>
  <si>
    <t>NH</t>
  </si>
  <si>
    <t>Fort Stark</t>
  </si>
  <si>
    <t>NCBN_OP_ERP_NH-FS</t>
  </si>
  <si>
    <t>Removed outliers from dataset due to exposure from negative tides (NOAA station 8424601)</t>
  </si>
  <si>
    <t>Nahant</t>
  </si>
  <si>
    <t>NCBN_OP_ERP_MA-NH</t>
  </si>
  <si>
    <t>Niles</t>
  </si>
  <si>
    <t>NCBN_OP_ERP_MA-NI</t>
  </si>
  <si>
    <t>Ship Harbor</t>
  </si>
  <si>
    <t>NCBN_ACAD_ERP_ME-SH</t>
  </si>
  <si>
    <t>West Great Bay</t>
  </si>
  <si>
    <t>NCBN_OP_ERP_NH-GB</t>
  </si>
  <si>
    <t>South Bay</t>
  </si>
  <si>
    <t>NCBN_OP_ERP_VA-SB</t>
  </si>
  <si>
    <t>Parramore</t>
  </si>
  <si>
    <t>NCBN_OP_ERP_VA-PM</t>
  </si>
  <si>
    <t>Logger located at Burton's Bay, ~1.53 ± 0.43 deg C cooler than Parramore sampling location based on sonde point measurements</t>
  </si>
  <si>
    <t>Provincetown Harbor</t>
  </si>
  <si>
    <t>NCBN_OP_ERP_MA-PH</t>
  </si>
  <si>
    <t>Tuckernuck Island</t>
  </si>
  <si>
    <t>NCBN_OP_ERP_MA-TI</t>
  </si>
  <si>
    <t>NY11 GSB</t>
  </si>
  <si>
    <t>NCBN_FIIS_ERP_NY-GSB_NY11</t>
  </si>
  <si>
    <t>The Pines</t>
  </si>
  <si>
    <t>NCBN_FIIS_ERP_NY-PGSB</t>
  </si>
  <si>
    <t>Shinnecock Road</t>
  </si>
  <si>
    <t>NCBN_OP_ERP_NY-SR</t>
  </si>
  <si>
    <t>Landscape Lab</t>
  </si>
  <si>
    <t>NCBN_OP_ERP_NY-LL</t>
  </si>
  <si>
    <t>Western Shinnecock</t>
  </si>
  <si>
    <t>NCBN_OP_ERP_NY-WS</t>
  </si>
  <si>
    <t>CALO</t>
  </si>
  <si>
    <t>Drum Inlet</t>
  </si>
  <si>
    <t>NCBN_OP_ERP_NC-DI</t>
  </si>
  <si>
    <t>Hatteras</t>
  </si>
  <si>
    <t>NCBN_OP_ERP_NC-HA</t>
  </si>
  <si>
    <t>Ocracroke</t>
  </si>
  <si>
    <t>NCBN_OP_ERP_NC-OK</t>
  </si>
  <si>
    <t>Salvo</t>
  </si>
  <si>
    <t>NCBN_OP_ERP_NC-S</t>
  </si>
  <si>
    <t>Morgan Island</t>
  </si>
  <si>
    <t>NCBN_CALO_ERP_NC-MI</t>
  </si>
  <si>
    <t>South Core</t>
  </si>
  <si>
    <t>NCBN_OP_ERP_NC-SC</t>
  </si>
  <si>
    <t>Ocracoke Boat Ramp</t>
  </si>
  <si>
    <t>CAHAocbr01</t>
  </si>
  <si>
    <t>Middle Marsh</t>
  </si>
  <si>
    <t>CALOmidm02</t>
  </si>
  <si>
    <t>Shackleford Banks Dock</t>
  </si>
  <si>
    <t>CALOshak01</t>
  </si>
  <si>
    <t>Year</t>
  </si>
  <si>
    <t>Coverage_pct</t>
  </si>
  <si>
    <t>May</t>
  </si>
  <si>
    <t>June</t>
  </si>
  <si>
    <t>July</t>
  </si>
  <si>
    <t>August</t>
  </si>
  <si>
    <t>September</t>
  </si>
  <si>
    <t>Countif</t>
  </si>
  <si>
    <t>Season_Check</t>
  </si>
  <si>
    <t>All_check</t>
  </si>
  <si>
    <t>%_abv_28.6</t>
  </si>
  <si>
    <t>Paramore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</si>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</sst>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</font>
    <font>
      <sz val="11"/>
      <color rgb="FF000000"/>
      <name val="Aptos"/>
      <family val="2"/>
    </font>
    <font>
      <sz val="11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"/>
    </font>
    <font>
      <sz val="11"/>
      <color rgb="FF000000"/>
      <name val="Aptos Narrow"/>
    </font>
    <font>
      <sz val="11"/>
      <color rgb="FF242424"/>
      <name val="Aptos Narrow"/>
      <charset val="1"/>
    </font>
    <font>
      <b/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14" fontId="5" fillId="0" borderId="0" xfId="0" applyNumberFormat="1" applyFont="1"/>
    <xf numFmtId="14" fontId="2" fillId="2" borderId="0" xfId="0" applyNumberFormat="1" applyFont="1" applyFill="1"/>
    <xf numFmtId="14" fontId="2" fillId="3" borderId="0" xfId="0" applyNumberFormat="1" applyFont="1" applyFill="1"/>
    <xf numFmtId="14" fontId="5" fillId="2" borderId="0" xfId="0" applyNumberFormat="1" applyFont="1" applyFill="1"/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10" fillId="0" borderId="0" xfId="0" applyFont="1"/>
    <xf numFmtId="0" fontId="0" fillId="4" borderId="0" xfId="0" applyFill="1"/>
    <xf numFmtId="0" fontId="5" fillId="4" borderId="0" xfId="0" applyFont="1" applyFill="1"/>
    <xf numFmtId="0" fontId="9" fillId="4" borderId="0" xfId="0" applyFont="1" applyFill="1"/>
    <xf numFmtId="0" fontId="11" fillId="0" borderId="0" xfId="0" applyFont="1"/>
    <xf numFmtId="0" fontId="11" fillId="4" borderId="0" xfId="0" applyFont="1" applyFill="1"/>
    <xf numFmtId="14" fontId="5" fillId="5" borderId="0" xfId="0" applyNumberFormat="1" applyFont="1" applyFill="1"/>
    <xf numFmtId="0" fontId="5" fillId="5" borderId="0" xfId="0" applyFont="1" applyFill="1"/>
    <xf numFmtId="0" fontId="8" fillId="6" borderId="0" xfId="0" applyFont="1" applyFill="1"/>
    <xf numFmtId="0" fontId="4" fillId="6" borderId="0" xfId="0" applyFont="1" applyFill="1"/>
    <xf numFmtId="0" fontId="12" fillId="0" borderId="0" xfId="0" applyFont="1"/>
    <xf numFmtId="0" fontId="13" fillId="0" borderId="0" xfId="0" applyFont="1"/>
    <xf numFmtId="0" fontId="0" fillId="5" borderId="0" xfId="0" applyFill="1"/>
    <xf numFmtId="0" fontId="2" fillId="5" borderId="0" xfId="0" applyFont="1" applyFill="1"/>
    <xf numFmtId="14" fontId="2" fillId="5" borderId="0" xfId="0" applyNumberFormat="1" applyFont="1" applyFill="1"/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8" fillId="5" borderId="0" xfId="0" applyFont="1" applyFill="1"/>
    <xf numFmtId="0" fontId="0" fillId="7" borderId="0" xfId="0" applyFill="1"/>
    <xf numFmtId="0" fontId="9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tton, Kaitlyn L" id="{FB76C839-DD8F-43F0-A88D-362DAB0B2E13}" userId="S::kaitlyn_button_nps.gov#ext#@uncw4.onmicrosoft.com::7a80a41d-b26d-47f2-a0e9-d2f539f3b0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6-01-30T18:49:24.18" personId="{FB76C839-DD8F-43F0-A88D-362DAB0B2E13}" id="{D2803BFB-1AF8-4EF3-843C-F25CB02A9D0B}">
    <text>On daily tab, need to confirm with Jessie how to report? (i.e, mean, max)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" dT="2026-01-30T18:49:24.18" personId="{FB76C839-DD8F-43F0-A88D-362DAB0B2E13}" id="{7A100929-1E92-4646-BED4-B77576878804}">
    <text>On daily tab, need to confirm with Jessie how to report? (i.e, mean, max)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1" dT="2026-01-30T18:49:24.18" personId="{FB76C839-DD8F-43F0-A88D-362DAB0B2E13}" id="{54F5398C-E8A9-47B7-B6B2-F6364403F987}">
    <text>On daily tab, need to confirm with Jessie how to report? (i.e, mean, max)</text>
  </threadedComment>
  <threadedComment ref="U8" dT="2026-02-11T19:02:23.12" personId="{FB76C839-DD8F-43F0-A88D-362DAB0B2E13}" id="{08D716E5-98B2-4AC8-8836-D0CD640F348A}">
    <text>reanalyze with 25 cutoff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8F60-5AE1-46B2-AF29-2001F56747CE}">
  <dimension ref="A1:AU67"/>
  <sheetViews>
    <sheetView workbookViewId="0">
      <selection activeCell="N1" sqref="N1:P1"/>
    </sheetView>
  </sheetViews>
  <sheetFormatPr defaultRowHeight="15" x14ac:dyDescent="0.25"/>
  <cols>
    <col min="4" max="4" width="12.7109375" customWidth="1"/>
    <col min="5" max="5" width="23" bestFit="1" customWidth="1"/>
    <col min="6" max="6" width="14.5703125" customWidth="1"/>
    <col min="7" max="8" width="10.42578125" bestFit="1" customWidth="1"/>
    <col min="9" max="9" width="9.28515625" bestFit="1" customWidth="1"/>
    <col min="10" max="10" width="9.85546875" bestFit="1" customWidth="1"/>
    <col min="11" max="11" width="9.28515625" bestFit="1" customWidth="1"/>
    <col min="12" max="12" width="17.28515625" customWidth="1"/>
    <col min="13" max="16" width="9.28515625" bestFit="1" customWidth="1"/>
    <col min="18" max="18" width="24.7109375" bestFit="1" customWidth="1"/>
    <col min="19" max="19" width="14" customWidth="1"/>
    <col min="20" max="20" width="9.28515625" bestFit="1" customWidth="1"/>
    <col min="22" max="22" width="9.28515625" bestFit="1" customWidth="1"/>
    <col min="24" max="24" width="9.28515625" bestFit="1" customWidth="1"/>
    <col min="26" max="26" width="57.85546875" customWidth="1"/>
    <col min="28" max="28" width="14.8554687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</row>
    <row r="2" spans="1:28" s="9" customFormat="1" x14ac:dyDescent="0.25">
      <c r="A2" t="s">
        <v>28</v>
      </c>
      <c r="B2" s="9" t="s">
        <v>29</v>
      </c>
      <c r="C2" s="9">
        <v>25</v>
      </c>
      <c r="D2" s="9" t="s">
        <v>30</v>
      </c>
      <c r="E2" s="10" t="s">
        <v>31</v>
      </c>
      <c r="F2" s="10" t="s">
        <v>32</v>
      </c>
      <c r="G2" s="14">
        <v>37789</v>
      </c>
      <c r="H2" s="14">
        <v>45862</v>
      </c>
      <c r="I2" s="10">
        <v>13654.158750000001</v>
      </c>
      <c r="J2" s="10">
        <v>-288567.5514</v>
      </c>
      <c r="K2" s="10">
        <v>4.9778194500000001</v>
      </c>
      <c r="L2" s="10">
        <v>-105.2014405</v>
      </c>
      <c r="M2" s="10">
        <v>105.515</v>
      </c>
      <c r="N2" s="10">
        <v>20.814178070000001</v>
      </c>
      <c r="O2" s="10">
        <v>31.970500000000001</v>
      </c>
      <c r="P2" s="10">
        <v>6.8512500000000003</v>
      </c>
      <c r="Q2" s="10">
        <v>41</v>
      </c>
      <c r="R2" s="10">
        <v>1307</v>
      </c>
      <c r="S2" s="10">
        <v>0.31242030100000001</v>
      </c>
      <c r="T2" s="10">
        <v>1.1798628E-2</v>
      </c>
      <c r="U2" s="10">
        <v>2743</v>
      </c>
      <c r="V2" s="10">
        <v>15.036901780000001</v>
      </c>
      <c r="X2" s="9">
        <v>41.751730999999999</v>
      </c>
      <c r="Y2" s="9">
        <v>-69.955561399999993</v>
      </c>
      <c r="Z2" s="9" t="s">
        <v>33</v>
      </c>
      <c r="AA2" s="10" t="s">
        <v>34</v>
      </c>
      <c r="AB2" s="9">
        <v>5.8</v>
      </c>
    </row>
    <row r="3" spans="1:28" s="9" customFormat="1" x14ac:dyDescent="0.25">
      <c r="A3" t="s">
        <v>28</v>
      </c>
      <c r="B3" s="9" t="s">
        <v>29</v>
      </c>
      <c r="C3" s="9">
        <v>25</v>
      </c>
      <c r="D3" s="9" t="s">
        <v>30</v>
      </c>
      <c r="E3" s="10" t="s">
        <v>31</v>
      </c>
      <c r="F3" s="10" t="s">
        <v>35</v>
      </c>
      <c r="G3" s="14">
        <v>44035</v>
      </c>
      <c r="H3" s="14">
        <v>45867</v>
      </c>
      <c r="I3" s="10">
        <v>4301.8532500000001</v>
      </c>
      <c r="J3" s="10">
        <v>-55490.351999999999</v>
      </c>
      <c r="K3" s="10">
        <v>6.9161627809999997</v>
      </c>
      <c r="L3" s="10">
        <v>-89.212784569999997</v>
      </c>
      <c r="M3" s="10">
        <v>71.474999999999994</v>
      </c>
      <c r="N3" s="10">
        <v>21.571154709999998</v>
      </c>
      <c r="O3" s="10">
        <v>30.608750000000001</v>
      </c>
      <c r="P3" s="10">
        <v>8.7732500000000009</v>
      </c>
      <c r="Q3" s="10">
        <v>29</v>
      </c>
      <c r="R3" s="10">
        <v>298</v>
      </c>
      <c r="S3" s="10">
        <v>0.42729306500000003</v>
      </c>
      <c r="T3" s="10">
        <v>3.7866658999999997E-2</v>
      </c>
      <c r="U3" s="10">
        <v>622</v>
      </c>
      <c r="V3" s="10">
        <v>20.50043604</v>
      </c>
      <c r="X3" s="9">
        <v>41.751730999999999</v>
      </c>
      <c r="Y3" s="9">
        <v>-69.955561399999993</v>
      </c>
      <c r="AA3" s="9" t="s">
        <v>36</v>
      </c>
      <c r="AB3" s="9">
        <v>5.8</v>
      </c>
    </row>
    <row r="4" spans="1:28" s="9" customFormat="1" x14ac:dyDescent="0.25">
      <c r="A4" t="s">
        <v>28</v>
      </c>
      <c r="B4" s="9" t="s">
        <v>29</v>
      </c>
      <c r="C4" s="9">
        <v>25</v>
      </c>
      <c r="D4" s="9" t="s">
        <v>30</v>
      </c>
      <c r="E4" s="10" t="s">
        <v>31</v>
      </c>
      <c r="F4" s="10" t="s">
        <v>37</v>
      </c>
      <c r="G4" s="14">
        <v>37789</v>
      </c>
      <c r="H4" s="14">
        <v>45862</v>
      </c>
      <c r="I4" s="10">
        <v>7669.2209999999995</v>
      </c>
      <c r="J4" s="10">
        <v>-311761.8701</v>
      </c>
      <c r="K4" s="10">
        <v>2.7959245350000002</v>
      </c>
      <c r="L4" s="10">
        <v>-113.65726220000001</v>
      </c>
      <c r="M4" s="10">
        <v>74.614999999999995</v>
      </c>
      <c r="N4" s="10">
        <v>20.361572110000001</v>
      </c>
      <c r="O4" s="10">
        <v>30.004000000000001</v>
      </c>
      <c r="P4" s="10">
        <v>7.3680000000000003</v>
      </c>
      <c r="Q4" s="10">
        <v>29</v>
      </c>
      <c r="R4" s="10">
        <v>775</v>
      </c>
      <c r="S4" s="10">
        <v>0.374892473</v>
      </c>
      <c r="T4" s="10">
        <v>2.0068372000000001E-2</v>
      </c>
      <c r="U4" s="10">
        <v>2743</v>
      </c>
      <c r="V4" s="10">
        <v>10.702336000000001</v>
      </c>
      <c r="X4" s="9">
        <v>41.751730999999999</v>
      </c>
      <c r="Y4" s="9">
        <v>-69.955561399999993</v>
      </c>
      <c r="Z4" s="9" t="s">
        <v>33</v>
      </c>
      <c r="AA4" s="9" t="s">
        <v>34</v>
      </c>
      <c r="AB4" s="9">
        <v>5.8</v>
      </c>
    </row>
    <row r="5" spans="1:28" s="9" customFormat="1" x14ac:dyDescent="0.25">
      <c r="A5" t="s">
        <v>28</v>
      </c>
      <c r="B5" s="9" t="s">
        <v>29</v>
      </c>
      <c r="C5" s="9">
        <v>25</v>
      </c>
      <c r="D5" s="9" t="s">
        <v>38</v>
      </c>
      <c r="E5" s="10" t="s">
        <v>39</v>
      </c>
      <c r="F5" s="9" t="s">
        <v>32</v>
      </c>
      <c r="G5" s="14">
        <v>37819</v>
      </c>
      <c r="H5" s="14">
        <v>45497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X5" s="9">
        <v>41.945903000000001</v>
      </c>
      <c r="Y5" s="9">
        <v>-70.079549999999998</v>
      </c>
      <c r="Z5" s="9" t="s">
        <v>40</v>
      </c>
      <c r="AB5" s="9">
        <v>0</v>
      </c>
    </row>
    <row r="6" spans="1:28" s="9" customFormat="1" x14ac:dyDescent="0.25">
      <c r="A6" t="s">
        <v>28</v>
      </c>
      <c r="B6" s="9" t="s">
        <v>29</v>
      </c>
      <c r="C6" s="9">
        <v>25</v>
      </c>
      <c r="D6" s="9" t="s">
        <v>38</v>
      </c>
      <c r="E6" s="10" t="s">
        <v>39</v>
      </c>
      <c r="F6" s="10" t="s">
        <v>35</v>
      </c>
      <c r="G6" s="14">
        <v>44035</v>
      </c>
      <c r="H6" s="14">
        <v>45497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X6" s="9">
        <v>41.945903000000001</v>
      </c>
      <c r="Y6" s="9">
        <v>-70.079549999999998</v>
      </c>
      <c r="Z6" s="9" t="s">
        <v>41</v>
      </c>
      <c r="AA6" s="9" t="s">
        <v>36</v>
      </c>
      <c r="AB6" s="9">
        <v>0</v>
      </c>
    </row>
    <row r="7" spans="1:28" s="9" customFormat="1" x14ac:dyDescent="0.25">
      <c r="A7" s="9" t="s">
        <v>28</v>
      </c>
      <c r="B7" s="9" t="s">
        <v>29</v>
      </c>
      <c r="C7" s="9">
        <v>25</v>
      </c>
      <c r="D7" s="9" t="s">
        <v>38</v>
      </c>
      <c r="E7" s="10" t="s">
        <v>39</v>
      </c>
      <c r="F7" s="9" t="s">
        <v>37</v>
      </c>
      <c r="G7" s="14">
        <v>37789</v>
      </c>
      <c r="H7" s="14">
        <v>44074</v>
      </c>
      <c r="I7" s="10">
        <v>800.93200000000002</v>
      </c>
      <c r="J7" s="10">
        <v>-311544.43199999997</v>
      </c>
      <c r="K7" s="10">
        <v>0.39591300000000001</v>
      </c>
      <c r="L7" s="10">
        <v>-154.00120200000001</v>
      </c>
      <c r="M7" s="10">
        <v>42.207749999999997</v>
      </c>
      <c r="N7" s="10">
        <v>18.506359199999999</v>
      </c>
      <c r="O7" s="10">
        <v>27.640499999999999</v>
      </c>
      <c r="P7" s="10">
        <v>5.04</v>
      </c>
      <c r="Q7" s="10">
        <v>15</v>
      </c>
      <c r="R7" s="10">
        <v>146</v>
      </c>
      <c r="S7" s="10">
        <v>0.32962329000000001</v>
      </c>
      <c r="T7" s="10">
        <v>5.041085E-2</v>
      </c>
      <c r="U7" s="10">
        <v>2023</v>
      </c>
      <c r="V7" s="10">
        <v>2.41500439</v>
      </c>
      <c r="X7" s="9">
        <v>41.945903000000001</v>
      </c>
      <c r="Y7" s="9">
        <v>-70.079549999999998</v>
      </c>
      <c r="AA7" s="9" t="s">
        <v>36</v>
      </c>
      <c r="AB7" s="9">
        <v>0</v>
      </c>
    </row>
    <row r="8" spans="1:28" s="9" customFormat="1" x14ac:dyDescent="0.25">
      <c r="A8" t="s">
        <v>28</v>
      </c>
      <c r="B8" s="9" t="s">
        <v>29</v>
      </c>
      <c r="C8" s="9">
        <v>25</v>
      </c>
      <c r="D8" s="9" t="s">
        <v>42</v>
      </c>
      <c r="E8" s="9" t="s">
        <v>43</v>
      </c>
      <c r="F8" s="9" t="s">
        <v>44</v>
      </c>
      <c r="G8" s="14">
        <v>43283</v>
      </c>
      <c r="H8" s="14">
        <v>45169</v>
      </c>
      <c r="I8" s="10">
        <v>4506.6414999999997</v>
      </c>
      <c r="J8" s="10">
        <v>-13620.332329999999</v>
      </c>
      <c r="K8" s="10">
        <v>16.44759672</v>
      </c>
      <c r="L8" s="10">
        <v>-49.709242089999996</v>
      </c>
      <c r="M8" s="10">
        <v>98.002750000000006</v>
      </c>
      <c r="N8" s="10">
        <v>23.558776739999999</v>
      </c>
      <c r="O8" s="10">
        <v>31.016749999999998</v>
      </c>
      <c r="P8" s="10">
        <v>10.839</v>
      </c>
      <c r="Q8" s="10">
        <v>45</v>
      </c>
      <c r="R8" s="10">
        <v>85</v>
      </c>
      <c r="S8" s="10">
        <v>1.2823529410000001</v>
      </c>
      <c r="T8" s="10">
        <v>0.27750866099999999</v>
      </c>
      <c r="U8" s="10">
        <v>274</v>
      </c>
      <c r="V8" s="10">
        <v>40.558139529999998</v>
      </c>
      <c r="X8" s="11">
        <v>42.055636</v>
      </c>
      <c r="Y8" s="11">
        <v>70.124091000000007</v>
      </c>
      <c r="Z8" s="9" t="s">
        <v>45</v>
      </c>
      <c r="AA8" s="9" t="s">
        <v>34</v>
      </c>
      <c r="AB8" s="9">
        <v>1</v>
      </c>
    </row>
    <row r="9" spans="1:28" x14ac:dyDescent="0.25">
      <c r="A9" t="s">
        <v>46</v>
      </c>
      <c r="B9" t="s">
        <v>47</v>
      </c>
      <c r="C9">
        <v>28.6</v>
      </c>
      <c r="D9" t="s">
        <v>48</v>
      </c>
      <c r="E9" t="s">
        <v>49</v>
      </c>
      <c r="F9" t="s">
        <v>44</v>
      </c>
      <c r="G9" s="2">
        <v>45413</v>
      </c>
      <c r="H9" s="2">
        <v>45514</v>
      </c>
      <c r="I9">
        <v>176.66800000000001</v>
      </c>
      <c r="J9">
        <v>-11920.797500000001</v>
      </c>
      <c r="K9">
        <v>1.7320392156862701</v>
      </c>
      <c r="L9">
        <v>-116.87056372549</v>
      </c>
      <c r="M9">
        <v>23.365500000000001</v>
      </c>
      <c r="N9">
        <v>23.774881017334501</v>
      </c>
      <c r="O9">
        <v>31.077000000000002</v>
      </c>
      <c r="P9">
        <v>12.641999999999999</v>
      </c>
      <c r="Q9">
        <v>7</v>
      </c>
      <c r="R9">
        <v>27</v>
      </c>
      <c r="S9">
        <v>0.35648148148148101</v>
      </c>
      <c r="T9">
        <v>3.8798055634655999E-2</v>
      </c>
      <c r="U9">
        <v>102</v>
      </c>
      <c r="V9">
        <v>9.49</v>
      </c>
      <c r="X9">
        <v>38.284416999999998</v>
      </c>
      <c r="Y9">
        <v>-75.126347999999993</v>
      </c>
      <c r="AA9" t="s">
        <v>34</v>
      </c>
    </row>
    <row r="10" spans="1:28" x14ac:dyDescent="0.25">
      <c r="A10" t="s">
        <v>46</v>
      </c>
      <c r="B10" t="s">
        <v>47</v>
      </c>
      <c r="C10">
        <v>28.6</v>
      </c>
      <c r="D10" t="s">
        <v>50</v>
      </c>
      <c r="E10" t="s">
        <v>51</v>
      </c>
      <c r="F10" t="s">
        <v>44</v>
      </c>
      <c r="G10" s="2">
        <v>45413</v>
      </c>
      <c r="H10" s="2">
        <v>45514</v>
      </c>
      <c r="I10">
        <v>267.56700000000001</v>
      </c>
      <c r="J10">
        <v>-9081.2009999999991</v>
      </c>
      <c r="K10">
        <v>2.6232058823529401</v>
      </c>
      <c r="L10">
        <v>-89.031382352941193</v>
      </c>
      <c r="M10">
        <v>34.204000000000001</v>
      </c>
      <c r="N10">
        <v>24.975038417916199</v>
      </c>
      <c r="O10">
        <v>31.547999999999998</v>
      </c>
      <c r="P10">
        <v>15.664</v>
      </c>
      <c r="Q10">
        <v>8</v>
      </c>
      <c r="R10">
        <v>26</v>
      </c>
      <c r="S10">
        <v>0.43910256410256399</v>
      </c>
      <c r="T10">
        <v>9.9201695204068699E-2</v>
      </c>
      <c r="U10">
        <v>102</v>
      </c>
      <c r="V10">
        <v>11.2</v>
      </c>
      <c r="X10">
        <v>37.988320000000002</v>
      </c>
      <c r="Y10">
        <v>-75.336609999999993</v>
      </c>
      <c r="AA10" t="s">
        <v>34</v>
      </c>
    </row>
    <row r="11" spans="1:28" x14ac:dyDescent="0.25">
      <c r="A11" t="s">
        <v>46</v>
      </c>
      <c r="B11" t="s">
        <v>47</v>
      </c>
      <c r="C11">
        <v>28.6</v>
      </c>
      <c r="D11" t="s">
        <v>52</v>
      </c>
      <c r="E11" t="s">
        <v>53</v>
      </c>
      <c r="F11" t="s">
        <v>32</v>
      </c>
      <c r="G11" s="2">
        <v>39974</v>
      </c>
      <c r="H11" s="2">
        <v>45813</v>
      </c>
      <c r="I11" s="1">
        <v>14294.3225</v>
      </c>
      <c r="J11" s="1">
        <v>-156222.53700000001</v>
      </c>
      <c r="K11" s="1">
        <v>7.8367996160000004</v>
      </c>
      <c r="L11" s="1">
        <v>-85.648320699999999</v>
      </c>
      <c r="M11" s="1">
        <v>95.444000000000003</v>
      </c>
      <c r="N11" s="1">
        <v>25.3221737</v>
      </c>
      <c r="O11" s="1">
        <v>36.011499999999998</v>
      </c>
      <c r="P11" s="1">
        <v>9.9275000000000002</v>
      </c>
      <c r="Q11" s="1">
        <v>51</v>
      </c>
      <c r="R11" s="1">
        <v>748</v>
      </c>
      <c r="S11" s="1">
        <v>0.53370097999999999</v>
      </c>
      <c r="T11" s="1">
        <v>2.4642839999999999E-2</v>
      </c>
      <c r="U11" s="1">
        <v>1824</v>
      </c>
      <c r="V11">
        <v>22</v>
      </c>
      <c r="X11">
        <v>38.187486</v>
      </c>
      <c r="Y11">
        <v>-75.182463999999996</v>
      </c>
      <c r="AA11" t="s">
        <v>34</v>
      </c>
      <c r="AB11">
        <v>17.100000000000001</v>
      </c>
    </row>
    <row r="12" spans="1:28" x14ac:dyDescent="0.25">
      <c r="A12" t="s">
        <v>46</v>
      </c>
      <c r="B12" t="s">
        <v>47</v>
      </c>
      <c r="C12">
        <v>28.6</v>
      </c>
      <c r="D12" t="s">
        <v>52</v>
      </c>
      <c r="E12" t="s">
        <v>53</v>
      </c>
      <c r="F12" t="s">
        <v>35</v>
      </c>
      <c r="G12" s="2">
        <v>44317</v>
      </c>
      <c r="H12" s="2">
        <v>45813</v>
      </c>
      <c r="I12">
        <v>2578.0814999999998</v>
      </c>
      <c r="J12">
        <v>-51408.116999999998</v>
      </c>
      <c r="K12">
        <v>4.8827301136363603</v>
      </c>
      <c r="L12">
        <v>-97.363857954545495</v>
      </c>
      <c r="M12">
        <v>52.191000000000003</v>
      </c>
      <c r="N12">
        <v>24.727384065988801</v>
      </c>
      <c r="O12">
        <v>33.469000000000001</v>
      </c>
      <c r="P12">
        <v>8.2949999999999999</v>
      </c>
      <c r="Q12">
        <v>32</v>
      </c>
      <c r="R12">
        <v>169</v>
      </c>
      <c r="S12">
        <v>0.54142011834319503</v>
      </c>
      <c r="T12">
        <v>4.9072038850700203E-2</v>
      </c>
      <c r="U12">
        <v>528</v>
      </c>
      <c r="V12">
        <v>17.3</v>
      </c>
      <c r="X12">
        <v>38.187486</v>
      </c>
      <c r="Y12">
        <v>-75.182463999999996</v>
      </c>
      <c r="AA12" t="s">
        <v>34</v>
      </c>
      <c r="AB12">
        <v>17.100000000000001</v>
      </c>
    </row>
    <row r="13" spans="1:28" x14ac:dyDescent="0.25">
      <c r="A13" t="s">
        <v>46</v>
      </c>
      <c r="B13" t="s">
        <v>47</v>
      </c>
      <c r="C13">
        <v>28.6</v>
      </c>
      <c r="D13" t="s">
        <v>52</v>
      </c>
      <c r="E13" t="s">
        <v>53</v>
      </c>
      <c r="F13" t="s">
        <v>37</v>
      </c>
      <c r="G13" s="2">
        <v>39974</v>
      </c>
      <c r="H13" s="2">
        <v>45813</v>
      </c>
      <c r="I13">
        <v>9700.8134999999893</v>
      </c>
      <c r="J13">
        <v>-173457.5515</v>
      </c>
      <c r="K13">
        <v>5.1056913157894703</v>
      </c>
      <c r="L13">
        <v>-91.293448157894801</v>
      </c>
      <c r="M13">
        <v>88.210999999999999</v>
      </c>
      <c r="N13">
        <v>24.990983315651299</v>
      </c>
      <c r="O13">
        <v>33.822000000000003</v>
      </c>
      <c r="P13">
        <v>8.7919999999999998</v>
      </c>
      <c r="Q13">
        <v>39</v>
      </c>
      <c r="R13">
        <v>520</v>
      </c>
      <c r="S13">
        <v>0.65641025641025597</v>
      </c>
      <c r="T13">
        <v>4.1127953364574803E-2</v>
      </c>
      <c r="U13">
        <v>1900</v>
      </c>
      <c r="V13">
        <v>18</v>
      </c>
      <c r="X13">
        <v>38.187486</v>
      </c>
      <c r="Y13">
        <v>-75.182463999999996</v>
      </c>
      <c r="AA13" t="s">
        <v>34</v>
      </c>
      <c r="AB13">
        <v>17.100000000000001</v>
      </c>
    </row>
    <row r="14" spans="1:28" s="33" customFormat="1" x14ac:dyDescent="0.25">
      <c r="A14" s="33" t="s">
        <v>54</v>
      </c>
      <c r="B14" s="33" t="s">
        <v>55</v>
      </c>
      <c r="C14" s="33">
        <v>28.6</v>
      </c>
      <c r="D14" s="33" t="s">
        <v>56</v>
      </c>
      <c r="E14" s="33" t="s">
        <v>57</v>
      </c>
      <c r="F14" s="33" t="s">
        <v>32</v>
      </c>
      <c r="G14" s="35">
        <v>44418</v>
      </c>
      <c r="H14" s="35">
        <v>45876</v>
      </c>
      <c r="I14" s="33">
        <v>74.260833333333196</v>
      </c>
      <c r="J14" s="33">
        <v>-59285.568083333303</v>
      </c>
      <c r="K14" s="33">
        <v>0.226404979674796</v>
      </c>
      <c r="L14" s="33">
        <v>-180.74868318089401</v>
      </c>
      <c r="M14" s="33">
        <v>8.9572499999999895</v>
      </c>
      <c r="N14" s="33">
        <v>21.0317791733296</v>
      </c>
      <c r="O14" s="33">
        <v>30.74775</v>
      </c>
      <c r="P14" s="33">
        <v>8.6679999999999993</v>
      </c>
      <c r="Q14" s="33">
        <v>4</v>
      </c>
      <c r="R14" s="33">
        <v>22</v>
      </c>
      <c r="S14" s="33">
        <v>0.189393939393939</v>
      </c>
      <c r="T14" s="33">
        <v>1.95255612041869E-2</v>
      </c>
      <c r="U14" s="33">
        <v>328</v>
      </c>
      <c r="V14" s="33">
        <v>1.28</v>
      </c>
      <c r="X14" s="33">
        <v>40.766392000000003</v>
      </c>
      <c r="Y14" s="33">
        <v>-72.788008000000005</v>
      </c>
      <c r="Z14" s="33" t="s">
        <v>58</v>
      </c>
      <c r="AA14" s="33" t="s">
        <v>34</v>
      </c>
      <c r="AB14" s="33">
        <v>2.9</v>
      </c>
    </row>
    <row r="15" spans="1:28" s="33" customFormat="1" x14ac:dyDescent="0.25">
      <c r="A15" s="33" t="s">
        <v>54</v>
      </c>
      <c r="B15" s="33" t="s">
        <v>55</v>
      </c>
      <c r="C15" s="33">
        <v>28.6</v>
      </c>
      <c r="D15" s="33" t="s">
        <v>56</v>
      </c>
      <c r="E15" s="33" t="s">
        <v>57</v>
      </c>
      <c r="F15" s="33" t="s">
        <v>35</v>
      </c>
      <c r="G15" s="35">
        <v>44418</v>
      </c>
      <c r="H15" s="35">
        <v>45876</v>
      </c>
      <c r="I15" s="33">
        <v>91.188416666666399</v>
      </c>
      <c r="J15" s="33">
        <v>-84466.342499999999</v>
      </c>
      <c r="K15" s="33">
        <v>0.186098809523809</v>
      </c>
      <c r="L15" s="33">
        <v>-172.380290816327</v>
      </c>
      <c r="M15" s="33">
        <v>7.4289999999999896</v>
      </c>
      <c r="N15" s="33">
        <v>21.396931014440899</v>
      </c>
      <c r="O15" s="33">
        <v>30.589500000000001</v>
      </c>
      <c r="P15" s="33">
        <v>8.6929999999999996</v>
      </c>
      <c r="Q15" s="33">
        <v>5</v>
      </c>
      <c r="R15" s="33">
        <v>46</v>
      </c>
      <c r="S15" s="33">
        <v>0.14673913043478301</v>
      </c>
      <c r="T15" s="33">
        <v>1.07379307876305E-2</v>
      </c>
      <c r="U15" s="33">
        <v>490</v>
      </c>
      <c r="V15" s="33">
        <v>1.38</v>
      </c>
      <c r="X15" s="33">
        <v>40.766392000000003</v>
      </c>
      <c r="Y15" s="33">
        <v>-72.788008000000005</v>
      </c>
      <c r="Z15" s="33" t="s">
        <v>59</v>
      </c>
      <c r="AA15" s="33" t="s">
        <v>34</v>
      </c>
      <c r="AB15" s="33">
        <v>2.9</v>
      </c>
    </row>
    <row r="16" spans="1:28" s="33" customFormat="1" x14ac:dyDescent="0.25">
      <c r="A16" s="33" t="s">
        <v>54</v>
      </c>
      <c r="B16" s="33" t="s">
        <v>55</v>
      </c>
      <c r="C16" s="33">
        <v>28.6</v>
      </c>
      <c r="D16" s="33" t="s">
        <v>56</v>
      </c>
      <c r="E16" s="33" t="s">
        <v>57</v>
      </c>
      <c r="F16" s="33" t="s">
        <v>37</v>
      </c>
      <c r="G16" s="35">
        <v>44418</v>
      </c>
      <c r="H16" s="35">
        <v>45876</v>
      </c>
      <c r="I16" s="33">
        <v>11.984499999999899</v>
      </c>
      <c r="J16" s="33">
        <v>-64201.219499999999</v>
      </c>
      <c r="K16" s="33">
        <v>3.3664325842696498E-2</v>
      </c>
      <c r="L16" s="33">
        <v>-180.340504213483</v>
      </c>
      <c r="M16" s="33">
        <v>3.09574999999999</v>
      </c>
      <c r="N16" s="33">
        <v>21.043066598392599</v>
      </c>
      <c r="O16" s="33">
        <v>29.696249999999999</v>
      </c>
      <c r="P16" s="33">
        <v>8.6617499999999996</v>
      </c>
      <c r="Q16" s="33">
        <v>3</v>
      </c>
      <c r="R16" s="33">
        <v>14</v>
      </c>
      <c r="S16" s="33">
        <v>0.107142857142857</v>
      </c>
      <c r="T16" s="33">
        <v>1.4297156589739899E-2</v>
      </c>
      <c r="U16" s="33">
        <v>356</v>
      </c>
      <c r="V16" s="33">
        <v>0.42299999999999999</v>
      </c>
      <c r="X16" s="33">
        <v>40.766392000000003</v>
      </c>
      <c r="Y16" s="33">
        <v>-72.788008000000005</v>
      </c>
      <c r="Z16" s="33" t="s">
        <v>60</v>
      </c>
      <c r="AA16" s="33" t="s">
        <v>34</v>
      </c>
      <c r="AB16" s="33">
        <v>2.9</v>
      </c>
    </row>
    <row r="17" spans="1:47" s="33" customFormat="1" x14ac:dyDescent="0.25">
      <c r="A17" s="33" t="s">
        <v>54</v>
      </c>
      <c r="B17" s="33" t="s">
        <v>55</v>
      </c>
      <c r="C17" s="33">
        <v>28.6</v>
      </c>
      <c r="D17" s="33" t="s">
        <v>61</v>
      </c>
      <c r="E17" s="33" t="s">
        <v>62</v>
      </c>
      <c r="F17" s="33" t="s">
        <v>32</v>
      </c>
      <c r="G17" s="35">
        <v>40325</v>
      </c>
      <c r="H17" s="35">
        <v>45876</v>
      </c>
      <c r="I17" s="33">
        <v>2038.2774916666599</v>
      </c>
      <c r="J17" s="33">
        <v>-123433.177433889</v>
      </c>
      <c r="K17" s="33">
        <v>1.98083332523485</v>
      </c>
      <c r="L17" s="33">
        <v>-119.9544970203</v>
      </c>
      <c r="M17" s="33">
        <v>42.909749999999903</v>
      </c>
      <c r="N17" s="33">
        <v>23.644903254970199</v>
      </c>
      <c r="O17" s="33">
        <v>32.59375</v>
      </c>
      <c r="P17" s="33">
        <v>7.5564999999999998</v>
      </c>
      <c r="Q17" s="33">
        <v>17</v>
      </c>
      <c r="R17" s="33">
        <v>230</v>
      </c>
      <c r="S17" s="33">
        <v>0.385507246376812</v>
      </c>
      <c r="T17" s="33">
        <v>2.2490330455853001E-2</v>
      </c>
      <c r="U17" s="33">
        <v>1029</v>
      </c>
      <c r="V17" s="33">
        <v>8.67</v>
      </c>
      <c r="X17" s="33">
        <v>40.719644000000002</v>
      </c>
      <c r="Y17" s="33">
        <v>-72.938221999999996</v>
      </c>
      <c r="AA17" s="33" t="s">
        <v>34</v>
      </c>
      <c r="AB17" s="33">
        <v>3.2</v>
      </c>
    </row>
    <row r="18" spans="1:47" s="33" customFormat="1" x14ac:dyDescent="0.25">
      <c r="A18" s="33" t="s">
        <v>54</v>
      </c>
      <c r="B18" s="33" t="s">
        <v>55</v>
      </c>
      <c r="C18" s="33">
        <v>28.6</v>
      </c>
      <c r="D18" s="33" t="s">
        <v>61</v>
      </c>
      <c r="E18" s="33" t="s">
        <v>62</v>
      </c>
      <c r="F18" s="33" t="s">
        <v>35</v>
      </c>
      <c r="G18" s="35">
        <v>40325</v>
      </c>
      <c r="H18" s="35">
        <v>45876</v>
      </c>
      <c r="I18" s="33">
        <v>1012.111</v>
      </c>
      <c r="J18" s="33">
        <v>-80877.076074561395</v>
      </c>
      <c r="K18" s="33">
        <v>1.5989115323854599</v>
      </c>
      <c r="L18" s="33">
        <v>-127.76789269283</v>
      </c>
      <c r="M18" s="33">
        <v>38.554000000000002</v>
      </c>
      <c r="N18" s="33">
        <v>23.300557381005099</v>
      </c>
      <c r="O18" s="33">
        <v>32.104750000000003</v>
      </c>
      <c r="P18" s="33">
        <v>7.2677500000000004</v>
      </c>
      <c r="Q18" s="33">
        <v>18</v>
      </c>
      <c r="R18" s="33">
        <v>115</v>
      </c>
      <c r="S18" s="33">
        <v>0.40434782608695702</v>
      </c>
      <c r="T18" s="33">
        <v>3.1832695321315198E-2</v>
      </c>
      <c r="U18" s="33">
        <v>633</v>
      </c>
      <c r="V18" s="33">
        <v>7.37</v>
      </c>
      <c r="X18" s="33">
        <v>40.719644000000002</v>
      </c>
      <c r="Y18" s="33">
        <v>-72.938221999999996</v>
      </c>
      <c r="AA18" s="33" t="s">
        <v>34</v>
      </c>
      <c r="AB18" s="33">
        <v>3.2</v>
      </c>
    </row>
    <row r="19" spans="1:47" s="33" customFormat="1" x14ac:dyDescent="0.25">
      <c r="A19" s="33" t="s">
        <v>54</v>
      </c>
      <c r="B19" s="33" t="s">
        <v>55</v>
      </c>
      <c r="C19" s="33">
        <v>28.6</v>
      </c>
      <c r="D19" s="33" t="s">
        <v>61</v>
      </c>
      <c r="E19" s="33" t="s">
        <v>62</v>
      </c>
      <c r="F19" s="33" t="s">
        <v>37</v>
      </c>
      <c r="G19" s="35">
        <v>40325</v>
      </c>
      <c r="H19" s="35">
        <v>45876</v>
      </c>
      <c r="I19" s="33">
        <v>635.29449999999895</v>
      </c>
      <c r="J19" s="33">
        <v>-112590.47595476201</v>
      </c>
      <c r="K19" s="33">
        <v>0.69204193899781996</v>
      </c>
      <c r="L19" s="33">
        <v>-122.647577292769</v>
      </c>
      <c r="M19" s="33">
        <v>26.571750000000002</v>
      </c>
      <c r="N19" s="33">
        <v>23.464596623061301</v>
      </c>
      <c r="O19" s="33">
        <v>31.567250000000001</v>
      </c>
      <c r="P19" s="33">
        <v>8.2575000000000003</v>
      </c>
      <c r="Q19" s="33">
        <v>11</v>
      </c>
      <c r="R19" s="33">
        <v>104</v>
      </c>
      <c r="S19" s="33">
        <v>0.36979166666666702</v>
      </c>
      <c r="T19" s="33">
        <v>2.78083519685416E-2</v>
      </c>
      <c r="U19" s="33">
        <v>918</v>
      </c>
      <c r="V19" s="33">
        <v>4.2300000000000004</v>
      </c>
      <c r="X19" s="33">
        <v>40.719644000000002</v>
      </c>
      <c r="Y19" s="33">
        <v>-72.938221999999996</v>
      </c>
      <c r="AA19" s="33" t="s">
        <v>34</v>
      </c>
      <c r="AB19" s="33">
        <v>3.2</v>
      </c>
    </row>
    <row r="20" spans="1:47" s="6" customFormat="1" x14ac:dyDescent="0.25">
      <c r="A20" t="s">
        <v>63</v>
      </c>
      <c r="B20" t="s">
        <v>44</v>
      </c>
      <c r="C20">
        <v>25</v>
      </c>
      <c r="D20" t="s">
        <v>64</v>
      </c>
      <c r="E20" s="1" t="s">
        <v>65</v>
      </c>
      <c r="F20" s="1"/>
      <c r="G20" s="12">
        <v>45539</v>
      </c>
      <c r="H20" s="12">
        <v>45918</v>
      </c>
      <c r="I20">
        <v>53.576000000000001</v>
      </c>
      <c r="J20">
        <v>-18721.136999999999</v>
      </c>
      <c r="K20">
        <v>0.31890476190476202</v>
      </c>
      <c r="L20">
        <v>-111.43533928571399</v>
      </c>
      <c r="M20">
        <v>6.1589999999999998</v>
      </c>
      <c r="N20">
        <v>20.338066641865101</v>
      </c>
      <c r="O20">
        <v>26.664999999999999</v>
      </c>
      <c r="P20">
        <v>10.8995</v>
      </c>
      <c r="Q20">
        <v>12</v>
      </c>
      <c r="R20">
        <v>33</v>
      </c>
      <c r="S20">
        <v>0.17297979797979801</v>
      </c>
      <c r="T20">
        <v>1.7214139147015101E-2</v>
      </c>
      <c r="U20">
        <v>168</v>
      </c>
      <c r="V20">
        <v>3.4207240948813999</v>
      </c>
      <c r="W20"/>
      <c r="X20" s="16">
        <v>41.329855000000002</v>
      </c>
      <c r="Y20" s="17">
        <v>-71.988226999999995</v>
      </c>
      <c r="Z20"/>
      <c r="AA20" s="1" t="s">
        <v>36</v>
      </c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</row>
    <row r="21" spans="1:47" s="6" customFormat="1" x14ac:dyDescent="0.25">
      <c r="A21" t="s">
        <v>28</v>
      </c>
      <c r="B21" t="s">
        <v>44</v>
      </c>
      <c r="C21">
        <v>25</v>
      </c>
      <c r="D21" t="s">
        <v>66</v>
      </c>
      <c r="E21" s="1" t="s">
        <v>67</v>
      </c>
      <c r="F21" s="1"/>
      <c r="G21" s="12">
        <v>45517</v>
      </c>
      <c r="H21" s="12">
        <v>45880</v>
      </c>
      <c r="I21">
        <v>58.3735</v>
      </c>
      <c r="J21">
        <v>-18330.426500000001</v>
      </c>
      <c r="K21">
        <v>0.38403618421052599</v>
      </c>
      <c r="L21">
        <v>-120.594911184211</v>
      </c>
      <c r="M21">
        <v>10.0745</v>
      </c>
      <c r="N21">
        <v>19.967396117698101</v>
      </c>
      <c r="O21">
        <v>27.1585</v>
      </c>
      <c r="P21">
        <v>11.2965</v>
      </c>
      <c r="Q21">
        <v>6</v>
      </c>
      <c r="R21">
        <v>20</v>
      </c>
      <c r="S21">
        <v>0.19166666666666701</v>
      </c>
      <c r="T21">
        <v>3.5173961993770098E-2</v>
      </c>
      <c r="U21">
        <v>152</v>
      </c>
      <c r="V21">
        <v>2.5414364640884002</v>
      </c>
      <c r="W21"/>
      <c r="X21" s="17">
        <v>41.29</v>
      </c>
      <c r="Y21" s="16">
        <v>-70.200277779999993</v>
      </c>
      <c r="Z21"/>
      <c r="AA21" s="1" t="s">
        <v>36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x14ac:dyDescent="0.25">
      <c r="A22" t="s">
        <v>28</v>
      </c>
      <c r="B22" t="s">
        <v>44</v>
      </c>
      <c r="C22">
        <v>28.6</v>
      </c>
      <c r="D22" t="s">
        <v>68</v>
      </c>
      <c r="E22" s="1" t="s">
        <v>69</v>
      </c>
      <c r="G22" s="12">
        <v>45503</v>
      </c>
      <c r="H22" s="12">
        <v>45919</v>
      </c>
      <c r="I22" s="20">
        <v>0.39774999999999999</v>
      </c>
      <c r="J22" s="20">
        <v>-31362.416700000002</v>
      </c>
      <c r="K22" s="20">
        <v>2.0716100000000002E-3</v>
      </c>
      <c r="L22" s="20">
        <v>-163.34592000000001</v>
      </c>
      <c r="M22" s="20">
        <v>0.15875</v>
      </c>
      <c r="N22" s="20">
        <v>21.700603999999998</v>
      </c>
      <c r="O22" s="20">
        <v>28.728999999999999</v>
      </c>
      <c r="P22" s="20">
        <v>11.843249999999999</v>
      </c>
      <c r="Q22" s="20">
        <v>4</v>
      </c>
      <c r="R22" s="20">
        <v>4</v>
      </c>
      <c r="S22" s="20">
        <v>5.2083329999999997E-2</v>
      </c>
      <c r="T22" s="20">
        <v>1.0416669999999999E-2</v>
      </c>
      <c r="U22" s="20">
        <v>192</v>
      </c>
      <c r="V22" s="20">
        <v>0.10972131</v>
      </c>
      <c r="X22" s="17">
        <v>41.3391667</v>
      </c>
      <c r="Y22" s="17">
        <v>-70.232222219999997</v>
      </c>
      <c r="Z22" s="25" t="s">
        <v>70</v>
      </c>
      <c r="AA22" s="1" t="s">
        <v>36</v>
      </c>
    </row>
    <row r="23" spans="1:47" x14ac:dyDescent="0.25">
      <c r="A23" s="22" t="s">
        <v>28</v>
      </c>
      <c r="B23" s="22" t="s">
        <v>44</v>
      </c>
      <c r="C23" s="22">
        <v>25</v>
      </c>
      <c r="D23" s="22" t="s">
        <v>68</v>
      </c>
      <c r="E23" s="23" t="s">
        <v>69</v>
      </c>
      <c r="F23" s="22"/>
      <c r="G23" s="27">
        <v>45503</v>
      </c>
      <c r="H23" s="27">
        <v>45919</v>
      </c>
      <c r="I23" s="28">
        <v>497.62175000000002</v>
      </c>
      <c r="J23" s="28">
        <v>-15468.840700000001</v>
      </c>
      <c r="K23" s="28">
        <v>2.5917799499999998</v>
      </c>
      <c r="L23" s="28">
        <v>-80.566878500000001</v>
      </c>
      <c r="M23" s="28">
        <v>37.3705</v>
      </c>
      <c r="N23" s="28">
        <v>21.700603999999998</v>
      </c>
      <c r="O23" s="28">
        <v>28.728999999999999</v>
      </c>
      <c r="P23" s="28">
        <v>11.843249999999999</v>
      </c>
      <c r="Q23" s="28">
        <v>30</v>
      </c>
      <c r="R23" s="28">
        <v>73</v>
      </c>
      <c r="S23" s="28">
        <v>0.31678082000000002</v>
      </c>
      <c r="T23" s="28">
        <v>6.3103480000000003E-2</v>
      </c>
      <c r="U23" s="28">
        <v>192</v>
      </c>
      <c r="V23" s="28">
        <v>12.1790652</v>
      </c>
      <c r="W23" s="22"/>
      <c r="X23" s="24">
        <v>41.3391667</v>
      </c>
      <c r="Y23" s="24">
        <v>-70.232222219999997</v>
      </c>
      <c r="Z23" s="26" t="s">
        <v>70</v>
      </c>
      <c r="AA23" s="23" t="s">
        <v>36</v>
      </c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x14ac:dyDescent="0.25">
      <c r="A24" t="s">
        <v>28</v>
      </c>
      <c r="B24" t="s">
        <v>44</v>
      </c>
      <c r="C24">
        <v>25</v>
      </c>
      <c r="D24" t="s">
        <v>71</v>
      </c>
      <c r="E24" s="1" t="s">
        <v>72</v>
      </c>
      <c r="G24" s="12">
        <v>45778</v>
      </c>
      <c r="H24" s="12">
        <v>45930</v>
      </c>
      <c r="I24">
        <v>0</v>
      </c>
      <c r="J24">
        <v>-18952.6175</v>
      </c>
      <c r="K24">
        <v>0</v>
      </c>
      <c r="L24">
        <v>-123.873316993464</v>
      </c>
      <c r="M24">
        <v>0</v>
      </c>
      <c r="N24">
        <v>19.824749564270199</v>
      </c>
      <c r="O24">
        <v>24.870999999999999</v>
      </c>
      <c r="P24">
        <v>11.589</v>
      </c>
      <c r="Q24">
        <v>0</v>
      </c>
      <c r="R24">
        <v>0</v>
      </c>
      <c r="S24">
        <v>0</v>
      </c>
      <c r="T24">
        <v>0</v>
      </c>
      <c r="U24">
        <v>153</v>
      </c>
      <c r="V24">
        <v>0</v>
      </c>
      <c r="X24" s="17">
        <v>41.58399</v>
      </c>
      <c r="Y24" s="16">
        <v>-70.820909999999998</v>
      </c>
      <c r="AA24" s="1" t="s">
        <v>36</v>
      </c>
    </row>
    <row r="25" spans="1:47" x14ac:dyDescent="0.25">
      <c r="A25" t="s">
        <v>28</v>
      </c>
      <c r="B25" t="s">
        <v>73</v>
      </c>
      <c r="C25">
        <v>25</v>
      </c>
      <c r="D25" t="s">
        <v>74</v>
      </c>
      <c r="E25" s="1" t="s">
        <v>75</v>
      </c>
      <c r="G25" s="12">
        <v>45524</v>
      </c>
      <c r="H25" s="12">
        <v>45909</v>
      </c>
      <c r="I25">
        <v>0</v>
      </c>
      <c r="J25">
        <v>-38119.093999999997</v>
      </c>
      <c r="K25">
        <v>0</v>
      </c>
      <c r="L25">
        <v>-219.07525287356299</v>
      </c>
      <c r="M25">
        <v>0</v>
      </c>
      <c r="N25">
        <v>15.8139853790367</v>
      </c>
      <c r="O25">
        <v>21.919499999999999</v>
      </c>
      <c r="P25">
        <v>8.0465</v>
      </c>
      <c r="Q25">
        <v>0</v>
      </c>
      <c r="R25">
        <v>0</v>
      </c>
      <c r="S25">
        <v>0</v>
      </c>
      <c r="T25">
        <v>0</v>
      </c>
      <c r="U25">
        <v>174</v>
      </c>
      <c r="V25">
        <v>0</v>
      </c>
      <c r="X25" s="17">
        <v>42.379206000000003</v>
      </c>
      <c r="Y25" s="16">
        <v>-70.969185999999993</v>
      </c>
      <c r="AA25" s="1" t="s">
        <v>36</v>
      </c>
    </row>
    <row r="26" spans="1:47" x14ac:dyDescent="0.25">
      <c r="A26" t="s">
        <v>76</v>
      </c>
      <c r="B26" t="s">
        <v>44</v>
      </c>
      <c r="C26">
        <v>25</v>
      </c>
      <c r="D26" t="s">
        <v>77</v>
      </c>
      <c r="E26" s="1" t="s">
        <v>78</v>
      </c>
      <c r="G26" s="12">
        <v>45778</v>
      </c>
      <c r="H26" s="12">
        <v>45889</v>
      </c>
      <c r="I26">
        <v>0</v>
      </c>
      <c r="J26">
        <v>-30597.823611024502</v>
      </c>
      <c r="K26">
        <v>0</v>
      </c>
      <c r="L26">
        <v>-273.19485366986203</v>
      </c>
      <c r="M26">
        <v>0</v>
      </c>
      <c r="N26">
        <v>13.576828803813701</v>
      </c>
      <c r="O26">
        <v>20.006944444999998</v>
      </c>
      <c r="P26">
        <v>5.9238888889999997</v>
      </c>
      <c r="Q26">
        <v>0</v>
      </c>
      <c r="R26">
        <v>0</v>
      </c>
      <c r="S26">
        <v>0</v>
      </c>
      <c r="T26">
        <v>0</v>
      </c>
      <c r="U26">
        <v>112</v>
      </c>
      <c r="V26">
        <v>0</v>
      </c>
      <c r="X26" s="17">
        <v>43.562739999999998</v>
      </c>
      <c r="Y26" s="17">
        <v>-70.221149999999994</v>
      </c>
      <c r="AA26" s="1" t="s">
        <v>36</v>
      </c>
    </row>
    <row r="27" spans="1:47" x14ac:dyDescent="0.25">
      <c r="A27" t="s">
        <v>76</v>
      </c>
      <c r="B27" t="s">
        <v>44</v>
      </c>
      <c r="C27">
        <v>25</v>
      </c>
      <c r="D27" t="s">
        <v>79</v>
      </c>
      <c r="E27" s="1" t="s">
        <v>80</v>
      </c>
      <c r="G27" s="12">
        <v>45533</v>
      </c>
      <c r="H27" s="12">
        <v>45903</v>
      </c>
      <c r="I27">
        <v>0</v>
      </c>
      <c r="J27">
        <v>-36389.212</v>
      </c>
      <c r="K27">
        <v>0</v>
      </c>
      <c r="L27">
        <v>-228.86296855345901</v>
      </c>
      <c r="M27">
        <v>0</v>
      </c>
      <c r="N27">
        <v>15.404671409853201</v>
      </c>
      <c r="O27">
        <v>22.3215</v>
      </c>
      <c r="P27">
        <v>7.9980000000000002</v>
      </c>
      <c r="Q27">
        <v>0</v>
      </c>
      <c r="R27">
        <v>0</v>
      </c>
      <c r="S27">
        <v>0</v>
      </c>
      <c r="T27">
        <v>0</v>
      </c>
      <c r="U27">
        <v>159</v>
      </c>
      <c r="V27">
        <v>0</v>
      </c>
      <c r="W27">
        <v>-0.8</v>
      </c>
      <c r="X27" s="17">
        <v>43.753680000000003</v>
      </c>
      <c r="Y27" s="17">
        <v>-70.136380000000003</v>
      </c>
      <c r="AA27" s="1" t="s">
        <v>36</v>
      </c>
    </row>
    <row r="28" spans="1:47" x14ac:dyDescent="0.25">
      <c r="A28" t="s">
        <v>76</v>
      </c>
      <c r="B28" t="s">
        <v>44</v>
      </c>
      <c r="C28">
        <v>25</v>
      </c>
      <c r="D28" t="s">
        <v>81</v>
      </c>
      <c r="E28" s="1" t="s">
        <v>82</v>
      </c>
      <c r="G28" s="12">
        <v>45778</v>
      </c>
      <c r="H28" s="12">
        <v>45911</v>
      </c>
      <c r="I28">
        <v>0</v>
      </c>
      <c r="J28">
        <v>-32894.1819444555</v>
      </c>
      <c r="K28">
        <v>0</v>
      </c>
      <c r="L28">
        <v>-245.478969734743</v>
      </c>
      <c r="M28">
        <v>0</v>
      </c>
      <c r="N28">
        <v>14.7194136754766</v>
      </c>
      <c r="O28">
        <v>20.424166665000001</v>
      </c>
      <c r="P28">
        <v>6.7877777779999997</v>
      </c>
      <c r="Q28">
        <v>0</v>
      </c>
      <c r="R28">
        <v>0</v>
      </c>
      <c r="S28">
        <v>0</v>
      </c>
      <c r="T28">
        <v>0</v>
      </c>
      <c r="U28">
        <v>134</v>
      </c>
      <c r="V28">
        <v>0</v>
      </c>
      <c r="X28" s="17">
        <v>43.967865000000003</v>
      </c>
      <c r="Y28" s="17">
        <v>-69.362097000000006</v>
      </c>
      <c r="AA28" s="1" t="s">
        <v>36</v>
      </c>
    </row>
    <row r="29" spans="1:47" x14ac:dyDescent="0.25">
      <c r="A29" t="s">
        <v>76</v>
      </c>
      <c r="B29" t="s">
        <v>44</v>
      </c>
      <c r="C29">
        <v>25</v>
      </c>
      <c r="D29" t="s">
        <v>83</v>
      </c>
      <c r="E29" s="1" t="s">
        <v>84</v>
      </c>
      <c r="G29" s="12">
        <v>45533</v>
      </c>
      <c r="H29" s="12">
        <v>45903</v>
      </c>
      <c r="I29">
        <v>0</v>
      </c>
      <c r="J29">
        <v>-38088.2955</v>
      </c>
      <c r="K29">
        <v>0</v>
      </c>
      <c r="L29">
        <v>-239.54902830188701</v>
      </c>
      <c r="M29">
        <v>0</v>
      </c>
      <c r="N29">
        <v>14.950800053952401</v>
      </c>
      <c r="O29">
        <v>20.213999999999999</v>
      </c>
      <c r="P29">
        <v>7.6924999999999999</v>
      </c>
      <c r="Q29">
        <v>0</v>
      </c>
      <c r="R29">
        <v>0</v>
      </c>
      <c r="S29">
        <v>0</v>
      </c>
      <c r="T29">
        <v>0</v>
      </c>
      <c r="U29">
        <v>159</v>
      </c>
      <c r="V29">
        <v>0</v>
      </c>
      <c r="W29">
        <v>-0.7</v>
      </c>
      <c r="X29" s="17">
        <v>43.692340000000002</v>
      </c>
      <c r="Y29" s="17">
        <v>-70.227999999999994</v>
      </c>
      <c r="AA29" s="1" t="s">
        <v>36</v>
      </c>
    </row>
    <row r="30" spans="1:47" x14ac:dyDescent="0.25">
      <c r="A30" t="s">
        <v>76</v>
      </c>
      <c r="B30" t="s">
        <v>85</v>
      </c>
      <c r="C30">
        <v>25</v>
      </c>
      <c r="D30" t="s">
        <v>86</v>
      </c>
      <c r="E30" s="1" t="s">
        <v>87</v>
      </c>
      <c r="G30" s="12">
        <v>45778</v>
      </c>
      <c r="H30" s="12">
        <v>45930</v>
      </c>
      <c r="I30">
        <v>0</v>
      </c>
      <c r="J30">
        <v>-43486.567222375503</v>
      </c>
      <c r="K30">
        <v>0</v>
      </c>
      <c r="L30">
        <v>-284.22592955801002</v>
      </c>
      <c r="M30">
        <v>0</v>
      </c>
      <c r="N30">
        <v>13.136211646654001</v>
      </c>
      <c r="O30">
        <v>20.197500000000002</v>
      </c>
      <c r="P30">
        <v>5.1019444445</v>
      </c>
      <c r="Q30">
        <v>0</v>
      </c>
      <c r="R30">
        <v>0</v>
      </c>
      <c r="S30">
        <v>0</v>
      </c>
      <c r="T30">
        <v>0</v>
      </c>
      <c r="U30">
        <v>153</v>
      </c>
      <c r="V30">
        <v>0</v>
      </c>
      <c r="X30" s="17">
        <v>44.389530000000001</v>
      </c>
      <c r="Y30" s="17">
        <v>-68.092759999999998</v>
      </c>
      <c r="AA30" s="1" t="s">
        <v>36</v>
      </c>
    </row>
    <row r="31" spans="1:47" x14ac:dyDescent="0.25">
      <c r="A31" t="s">
        <v>54</v>
      </c>
      <c r="B31" t="s">
        <v>44</v>
      </c>
      <c r="C31">
        <v>25</v>
      </c>
      <c r="D31" t="s">
        <v>88</v>
      </c>
      <c r="E31" s="1" t="s">
        <v>89</v>
      </c>
      <c r="G31" s="12">
        <v>45546</v>
      </c>
      <c r="H31" s="12">
        <v>45918</v>
      </c>
      <c r="I31">
        <v>0</v>
      </c>
      <c r="J31">
        <v>-26417.898000000001</v>
      </c>
      <c r="K31">
        <v>0</v>
      </c>
      <c r="L31">
        <v>-164.08632298136601</v>
      </c>
      <c r="M31">
        <v>0</v>
      </c>
      <c r="N31">
        <v>18.1160851061077</v>
      </c>
      <c r="O31">
        <v>23.935500000000001</v>
      </c>
      <c r="P31">
        <v>8.9794999999999998</v>
      </c>
      <c r="Q31">
        <v>0</v>
      </c>
      <c r="R31">
        <v>0</v>
      </c>
      <c r="S31">
        <v>0</v>
      </c>
      <c r="T31">
        <v>0</v>
      </c>
      <c r="U31">
        <v>161</v>
      </c>
      <c r="V31">
        <v>0</v>
      </c>
      <c r="X31" s="17">
        <v>41.278083330000001</v>
      </c>
      <c r="Y31" s="16">
        <v>-71.948611110000002</v>
      </c>
      <c r="AA31" s="1" t="s">
        <v>36</v>
      </c>
    </row>
    <row r="32" spans="1:47" x14ac:dyDescent="0.25">
      <c r="A32" t="s">
        <v>90</v>
      </c>
      <c r="B32" t="s">
        <v>44</v>
      </c>
      <c r="C32">
        <v>25</v>
      </c>
      <c r="D32" t="s">
        <v>91</v>
      </c>
      <c r="E32" s="1" t="s">
        <v>92</v>
      </c>
      <c r="G32" s="12">
        <v>45553</v>
      </c>
      <c r="H32" s="12">
        <v>45930</v>
      </c>
      <c r="I32">
        <v>0</v>
      </c>
      <c r="J32">
        <v>-29312.224999999999</v>
      </c>
      <c r="K32">
        <v>0</v>
      </c>
      <c r="L32">
        <v>-176.57966867469901</v>
      </c>
      <c r="M32">
        <v>0</v>
      </c>
      <c r="N32">
        <v>17.603576782128499</v>
      </c>
      <c r="O32">
        <v>21.7425</v>
      </c>
      <c r="P32">
        <v>7.4509999999999996</v>
      </c>
      <c r="Q32">
        <v>0</v>
      </c>
      <c r="R32">
        <v>0</v>
      </c>
      <c r="S32">
        <v>0</v>
      </c>
      <c r="T32">
        <v>0</v>
      </c>
      <c r="U32">
        <v>166</v>
      </c>
      <c r="V32">
        <v>0</v>
      </c>
      <c r="X32" s="17">
        <v>41.478687000000001</v>
      </c>
      <c r="Y32" s="16">
        <v>-71.359367000000006</v>
      </c>
      <c r="AA32" s="1" t="s">
        <v>36</v>
      </c>
    </row>
    <row r="33" spans="1:47" s="6" customFormat="1" x14ac:dyDescent="0.25">
      <c r="A33" t="s">
        <v>90</v>
      </c>
      <c r="B33" t="s">
        <v>44</v>
      </c>
      <c r="C33">
        <v>25</v>
      </c>
      <c r="D33" t="s">
        <v>93</v>
      </c>
      <c r="E33" s="1" t="s">
        <v>94</v>
      </c>
      <c r="F33" s="1"/>
      <c r="G33" s="12">
        <v>45778</v>
      </c>
      <c r="H33" s="12">
        <v>45904</v>
      </c>
      <c r="I33">
        <v>212.68350000000001</v>
      </c>
      <c r="J33">
        <v>-15860.455</v>
      </c>
      <c r="K33">
        <v>1.67467322834646</v>
      </c>
      <c r="L33">
        <v>-124.88547244094499</v>
      </c>
      <c r="M33">
        <v>14.7875</v>
      </c>
      <c r="N33">
        <v>19.841456342957098</v>
      </c>
      <c r="O33">
        <v>28.51</v>
      </c>
      <c r="P33">
        <v>9.0655000000000001</v>
      </c>
      <c r="Q33">
        <v>11</v>
      </c>
      <c r="R33">
        <v>46</v>
      </c>
      <c r="S33">
        <v>0.184782608695652</v>
      </c>
      <c r="T33">
        <v>1.5250424234540901E-2</v>
      </c>
      <c r="U33">
        <v>127</v>
      </c>
      <c r="V33">
        <v>6.7149440421329798</v>
      </c>
      <c r="W33"/>
      <c r="X33" s="17">
        <v>41.367711</v>
      </c>
      <c r="Y33" s="16">
        <v>-71.634050000000002</v>
      </c>
      <c r="Z33"/>
      <c r="AA33" s="1" t="s">
        <v>36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</row>
    <row r="34" spans="1:47" x14ac:dyDescent="0.25">
      <c r="A34" t="s">
        <v>95</v>
      </c>
      <c r="B34" t="s">
        <v>44</v>
      </c>
      <c r="C34">
        <v>28.6</v>
      </c>
      <c r="D34" t="s">
        <v>96</v>
      </c>
      <c r="E34" s="1" t="s">
        <v>97</v>
      </c>
      <c r="G34" s="12">
        <v>45105</v>
      </c>
      <c r="H34" s="12">
        <v>45833</v>
      </c>
      <c r="I34" s="1">
        <v>2612.0305600000002</v>
      </c>
      <c r="J34" s="1">
        <v>-17819.4231</v>
      </c>
      <c r="K34" s="1">
        <v>8.5922057699999996</v>
      </c>
      <c r="L34" s="1">
        <v>-58.616523200000003</v>
      </c>
      <c r="M34" s="1">
        <v>94.932500000000005</v>
      </c>
      <c r="N34" s="1">
        <v>26.5093955</v>
      </c>
      <c r="O34" s="1">
        <v>34.638055600000001</v>
      </c>
      <c r="P34" s="1">
        <v>18.188055599999998</v>
      </c>
      <c r="Q34" s="1">
        <v>51</v>
      </c>
      <c r="R34" s="1">
        <v>114</v>
      </c>
      <c r="S34" s="1">
        <v>0.79276316000000002</v>
      </c>
      <c r="T34" s="1">
        <v>0.10642219</v>
      </c>
      <c r="U34" s="1">
        <v>304</v>
      </c>
      <c r="V34" s="1">
        <v>29.830834800000002</v>
      </c>
      <c r="X34" s="17">
        <v>37.340885999999998</v>
      </c>
      <c r="Y34" s="17">
        <v>-76.409088999999994</v>
      </c>
      <c r="AA34" s="1" t="s">
        <v>36</v>
      </c>
    </row>
    <row r="35" spans="1:47" x14ac:dyDescent="0.25">
      <c r="A35" t="s">
        <v>95</v>
      </c>
      <c r="B35" t="s">
        <v>44</v>
      </c>
      <c r="C35">
        <v>28.6</v>
      </c>
      <c r="D35" t="s">
        <v>98</v>
      </c>
      <c r="E35" s="1" t="s">
        <v>99</v>
      </c>
      <c r="G35" s="12">
        <v>45106</v>
      </c>
      <c r="H35" s="12">
        <v>45841</v>
      </c>
      <c r="I35" s="1">
        <v>882.04194399999994</v>
      </c>
      <c r="J35" s="1">
        <v>-17033.636399999999</v>
      </c>
      <c r="K35" s="1">
        <v>3.5566207400000001</v>
      </c>
      <c r="L35" s="1">
        <v>-68.684017699999998</v>
      </c>
      <c r="M35" s="1">
        <v>41.687777799999999</v>
      </c>
      <c r="N35" s="1">
        <v>25.872399399999999</v>
      </c>
      <c r="O35" s="1">
        <v>31.88</v>
      </c>
      <c r="P35" s="1">
        <v>16.665277799999998</v>
      </c>
      <c r="Q35" s="1">
        <v>24</v>
      </c>
      <c r="R35" s="1">
        <v>112</v>
      </c>
      <c r="S35" s="1">
        <v>0.36569940000000001</v>
      </c>
      <c r="T35" s="1">
        <v>3.6704880000000002E-2</v>
      </c>
      <c r="U35" s="1">
        <v>248</v>
      </c>
      <c r="V35" s="1">
        <v>16.635640500000001</v>
      </c>
      <c r="X35" s="17">
        <v>37.403052000000002</v>
      </c>
      <c r="Y35" s="17">
        <v>-75.984093999999999</v>
      </c>
      <c r="AA35" s="1" t="s">
        <v>36</v>
      </c>
    </row>
    <row r="36" spans="1:47" x14ac:dyDescent="0.25">
      <c r="A36" t="s">
        <v>100</v>
      </c>
      <c r="B36" t="s">
        <v>101</v>
      </c>
      <c r="C36">
        <v>28.6</v>
      </c>
      <c r="D36" t="s">
        <v>102</v>
      </c>
      <c r="E36" t="s">
        <v>103</v>
      </c>
      <c r="G36" s="12">
        <v>45419</v>
      </c>
      <c r="H36" s="12">
        <v>45565</v>
      </c>
      <c r="I36" s="1">
        <v>712.98</v>
      </c>
      <c r="J36" s="1">
        <v>-8409.1796699999995</v>
      </c>
      <c r="K36" s="1">
        <v>4.8502040800000001</v>
      </c>
      <c r="L36" s="1">
        <v>-57.205303899999997</v>
      </c>
      <c r="M36" s="1">
        <v>44.761000000000003</v>
      </c>
      <c r="N36" s="1">
        <v>26.4032327</v>
      </c>
      <c r="O36" s="1">
        <v>31.992999999999999</v>
      </c>
      <c r="P36" s="1">
        <v>18.41225</v>
      </c>
      <c r="Q36" s="1">
        <v>24</v>
      </c>
      <c r="R36" s="1">
        <v>45</v>
      </c>
      <c r="S36" s="1">
        <v>0.69629629999999998</v>
      </c>
      <c r="T36" s="1">
        <v>0.10366988000000001</v>
      </c>
      <c r="U36" s="1">
        <v>147</v>
      </c>
      <c r="V36" s="1">
        <v>21.4001138</v>
      </c>
      <c r="X36" s="17">
        <v>35.369509999999998</v>
      </c>
      <c r="Y36" s="17">
        <v>-75.515889999999999</v>
      </c>
      <c r="AA36" s="1" t="s">
        <v>36</v>
      </c>
    </row>
    <row r="37" spans="1:47" x14ac:dyDescent="0.25">
      <c r="A37" t="s">
        <v>100</v>
      </c>
      <c r="B37" t="s">
        <v>101</v>
      </c>
      <c r="C37">
        <v>28.6</v>
      </c>
      <c r="D37" t="s">
        <v>104</v>
      </c>
      <c r="E37" t="s">
        <v>105</v>
      </c>
      <c r="G37" s="12">
        <v>45418</v>
      </c>
      <c r="H37" s="12">
        <v>45782</v>
      </c>
      <c r="I37" s="1">
        <v>841.4</v>
      </c>
      <c r="J37" s="1">
        <v>-9285.7610800000002</v>
      </c>
      <c r="K37" s="1">
        <v>5.4993464100000002</v>
      </c>
      <c r="L37" s="1">
        <v>-60.691248899999998</v>
      </c>
      <c r="M37" s="1">
        <v>50.240250000000003</v>
      </c>
      <c r="N37" s="1">
        <v>26.265903399999999</v>
      </c>
      <c r="O37" s="1">
        <v>32.872250000000001</v>
      </c>
      <c r="P37" s="1">
        <v>18.133500000000002</v>
      </c>
      <c r="Q37" s="1">
        <v>24</v>
      </c>
      <c r="R37" s="1">
        <v>70</v>
      </c>
      <c r="S37" s="1">
        <v>0.4547619</v>
      </c>
      <c r="T37" s="1">
        <v>5.4998999999999999E-2</v>
      </c>
      <c r="U37" s="1">
        <v>153</v>
      </c>
      <c r="V37" s="1">
        <v>20.9372431</v>
      </c>
      <c r="X37" s="17">
        <v>35.450119999999998</v>
      </c>
      <c r="Y37" s="17">
        <v>-75.510369999999995</v>
      </c>
      <c r="AA37" s="1" t="s">
        <v>36</v>
      </c>
    </row>
    <row r="38" spans="1:47" x14ac:dyDescent="0.25">
      <c r="A38" t="s">
        <v>63</v>
      </c>
      <c r="B38" t="s">
        <v>44</v>
      </c>
      <c r="C38">
        <v>25</v>
      </c>
      <c r="D38" t="s">
        <v>106</v>
      </c>
      <c r="E38" s="1" t="s">
        <v>107</v>
      </c>
      <c r="G38" s="12">
        <v>45546</v>
      </c>
      <c r="H38" s="12">
        <v>45918</v>
      </c>
      <c r="I38">
        <v>0</v>
      </c>
      <c r="J38">
        <v>-26036.641</v>
      </c>
      <c r="K38">
        <v>0</v>
      </c>
      <c r="L38">
        <v>-161.71826708074499</v>
      </c>
      <c r="M38">
        <v>0</v>
      </c>
      <c r="N38">
        <v>18.219420445134599</v>
      </c>
      <c r="O38">
        <v>22.97</v>
      </c>
      <c r="P38">
        <v>9.3870000000000005</v>
      </c>
      <c r="Q38">
        <v>0</v>
      </c>
      <c r="R38">
        <v>0</v>
      </c>
      <c r="S38">
        <v>0</v>
      </c>
      <c r="T38">
        <v>0</v>
      </c>
      <c r="U38">
        <v>161</v>
      </c>
      <c r="V38">
        <v>0</v>
      </c>
      <c r="X38" s="19">
        <v>41.332732</v>
      </c>
      <c r="Y38" s="19">
        <v>-71.902703000000002</v>
      </c>
      <c r="AA38" s="1" t="s">
        <v>36</v>
      </c>
    </row>
    <row r="39" spans="1:47" s="6" customFormat="1" x14ac:dyDescent="0.25">
      <c r="A39" t="s">
        <v>76</v>
      </c>
      <c r="B39" t="s">
        <v>44</v>
      </c>
      <c r="C39">
        <v>25</v>
      </c>
      <c r="D39" t="s">
        <v>108</v>
      </c>
      <c r="E39" s="1" t="s">
        <v>109</v>
      </c>
      <c r="F39"/>
      <c r="G39" s="12">
        <v>45778</v>
      </c>
      <c r="H39" s="12">
        <v>45930</v>
      </c>
      <c r="I39">
        <v>2.96666667</v>
      </c>
      <c r="J39">
        <v>-43450.452222231499</v>
      </c>
      <c r="K39">
        <v>1.9389978235294099E-2</v>
      </c>
      <c r="L39">
        <v>-283.989883805435</v>
      </c>
      <c r="M39">
        <v>2.3111111100000001</v>
      </c>
      <c r="N39">
        <v>13.1483554072848</v>
      </c>
      <c r="O39">
        <v>27.311111109999999</v>
      </c>
      <c r="P39">
        <v>5.011388889</v>
      </c>
      <c r="Q39">
        <v>1</v>
      </c>
      <c r="R39">
        <v>4</v>
      </c>
      <c r="S39">
        <v>4.1666666666666699E-2</v>
      </c>
      <c r="T39">
        <v>0</v>
      </c>
      <c r="U39">
        <v>153</v>
      </c>
      <c r="V39">
        <v>0.108932461873638</v>
      </c>
      <c r="W39"/>
      <c r="X39" s="17">
        <v>44.698920000000001</v>
      </c>
      <c r="Y39" s="17">
        <v>-67.334109999999995</v>
      </c>
      <c r="Z39"/>
      <c r="AA39" s="1" t="s">
        <v>36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47" x14ac:dyDescent="0.25">
      <c r="A40" t="s">
        <v>110</v>
      </c>
      <c r="B40" t="s">
        <v>44</v>
      </c>
      <c r="C40">
        <v>25</v>
      </c>
      <c r="D40" t="s">
        <v>111</v>
      </c>
      <c r="E40" s="1" t="s">
        <v>112</v>
      </c>
      <c r="G40" s="12">
        <v>45778</v>
      </c>
      <c r="H40" s="12">
        <v>45870</v>
      </c>
      <c r="I40" s="20">
        <v>0</v>
      </c>
      <c r="J40" s="20">
        <v>-28286.753499999999</v>
      </c>
      <c r="K40" s="20">
        <v>0</v>
      </c>
      <c r="L40" s="20">
        <v>-304.15863999999999</v>
      </c>
      <c r="M40" s="20">
        <v>0</v>
      </c>
      <c r="N40" s="20">
        <v>12.2194568</v>
      </c>
      <c r="O40" s="20">
        <v>20.280999999999999</v>
      </c>
      <c r="P40" s="20">
        <v>5.86</v>
      </c>
      <c r="Q40" s="20">
        <v>0</v>
      </c>
      <c r="R40" s="20">
        <v>0</v>
      </c>
      <c r="S40" s="20">
        <v>0</v>
      </c>
      <c r="T40" s="20">
        <v>0</v>
      </c>
      <c r="U40" s="20">
        <v>93</v>
      </c>
      <c r="V40" s="20">
        <v>0</v>
      </c>
      <c r="X40" s="16">
        <v>43.057029999999997</v>
      </c>
      <c r="Y40" s="17">
        <v>-70.714429999999993</v>
      </c>
      <c r="Z40" t="s">
        <v>113</v>
      </c>
      <c r="AA40" s="1" t="s">
        <v>36</v>
      </c>
    </row>
    <row r="41" spans="1:47" x14ac:dyDescent="0.25">
      <c r="A41" t="s">
        <v>28</v>
      </c>
      <c r="B41" t="s">
        <v>44</v>
      </c>
      <c r="C41">
        <v>25</v>
      </c>
      <c r="D41" t="s">
        <v>114</v>
      </c>
      <c r="E41" s="1" t="s">
        <v>115</v>
      </c>
      <c r="G41" s="12">
        <v>45518</v>
      </c>
      <c r="H41" s="12">
        <v>45897</v>
      </c>
      <c r="I41">
        <v>0</v>
      </c>
      <c r="J41">
        <v>-41691.658499999998</v>
      </c>
      <c r="K41">
        <v>0</v>
      </c>
      <c r="L41">
        <v>-248.16463392857099</v>
      </c>
      <c r="M41">
        <v>0</v>
      </c>
      <c r="N41">
        <v>14.583866451719601</v>
      </c>
      <c r="O41">
        <v>21.635000000000002</v>
      </c>
      <c r="P41">
        <v>6.899</v>
      </c>
      <c r="Q41">
        <v>0</v>
      </c>
      <c r="R41">
        <v>0</v>
      </c>
      <c r="S41">
        <v>0</v>
      </c>
      <c r="T41">
        <v>0</v>
      </c>
      <c r="U41">
        <v>168</v>
      </c>
      <c r="V41">
        <v>0</v>
      </c>
      <c r="X41" s="17">
        <v>42.417727999999997</v>
      </c>
      <c r="Y41" s="16">
        <v>-70.912402</v>
      </c>
      <c r="AA41" s="1" t="s">
        <v>36</v>
      </c>
    </row>
    <row r="42" spans="1:47" x14ac:dyDescent="0.25">
      <c r="A42" t="s">
        <v>28</v>
      </c>
      <c r="B42" t="s">
        <v>44</v>
      </c>
      <c r="C42">
        <v>25</v>
      </c>
      <c r="D42" t="s">
        <v>116</v>
      </c>
      <c r="E42" s="1" t="s">
        <v>117</v>
      </c>
      <c r="G42" s="12">
        <v>45518</v>
      </c>
      <c r="H42" s="12">
        <v>45901</v>
      </c>
      <c r="I42">
        <v>0</v>
      </c>
      <c r="J42">
        <v>-41810.4355</v>
      </c>
      <c r="K42">
        <v>0</v>
      </c>
      <c r="L42">
        <v>-243.08392732558099</v>
      </c>
      <c r="M42">
        <v>0</v>
      </c>
      <c r="N42">
        <v>14.8107347141473</v>
      </c>
      <c r="O42">
        <v>20.771999999999998</v>
      </c>
      <c r="P42">
        <v>5.6924999999999999</v>
      </c>
      <c r="Q42">
        <v>0</v>
      </c>
      <c r="R42">
        <v>0</v>
      </c>
      <c r="S42">
        <v>0</v>
      </c>
      <c r="T42">
        <v>0</v>
      </c>
      <c r="U42">
        <v>172</v>
      </c>
      <c r="V42">
        <v>0</v>
      </c>
      <c r="X42" s="17">
        <v>42.594096</v>
      </c>
      <c r="Y42" s="16">
        <v>-70.656833000000006</v>
      </c>
      <c r="AA42" s="1" t="s">
        <v>36</v>
      </c>
    </row>
    <row r="43" spans="1:47" x14ac:dyDescent="0.25">
      <c r="A43" t="s">
        <v>76</v>
      </c>
      <c r="B43" t="s">
        <v>85</v>
      </c>
      <c r="C43">
        <v>25</v>
      </c>
      <c r="D43" t="s">
        <v>118</v>
      </c>
      <c r="E43" s="1" t="s">
        <v>119</v>
      </c>
      <c r="G43" s="12">
        <v>45524</v>
      </c>
      <c r="H43" s="12">
        <v>45910</v>
      </c>
      <c r="I43" s="20">
        <v>0</v>
      </c>
      <c r="J43" s="20">
        <v>-51376.862999999998</v>
      </c>
      <c r="K43" s="20">
        <v>0</v>
      </c>
      <c r="L43" s="20">
        <v>-293.58207399999998</v>
      </c>
      <c r="M43" s="20">
        <v>0</v>
      </c>
      <c r="N43" s="20">
        <v>12.6732128</v>
      </c>
      <c r="O43" s="20">
        <v>21.774999999999999</v>
      </c>
      <c r="P43" s="20">
        <v>5.7030000000000003</v>
      </c>
      <c r="Q43" s="20">
        <v>0</v>
      </c>
      <c r="R43" s="20">
        <v>0</v>
      </c>
      <c r="S43" s="20">
        <v>0</v>
      </c>
      <c r="T43" s="20">
        <v>0</v>
      </c>
      <c r="U43" s="20">
        <v>175</v>
      </c>
      <c r="V43" s="20">
        <v>0</v>
      </c>
      <c r="X43" s="17">
        <v>44.227739999999997</v>
      </c>
      <c r="Y43" s="16">
        <v>-68.322609999999997</v>
      </c>
      <c r="AA43" s="1" t="s">
        <v>36</v>
      </c>
    </row>
    <row r="44" spans="1:47" s="6" customFormat="1" x14ac:dyDescent="0.25">
      <c r="A44" t="s">
        <v>110</v>
      </c>
      <c r="B44" t="s">
        <v>44</v>
      </c>
      <c r="C44">
        <v>25</v>
      </c>
      <c r="D44" t="s">
        <v>120</v>
      </c>
      <c r="E44" s="1" t="s">
        <v>121</v>
      </c>
      <c r="F44"/>
      <c r="G44" s="2">
        <v>45805</v>
      </c>
      <c r="H44" s="2">
        <v>45863</v>
      </c>
      <c r="I44" s="1">
        <v>69.241833299999996</v>
      </c>
      <c r="J44" s="1">
        <v>-5962.7375700000002</v>
      </c>
      <c r="K44" s="1">
        <v>1.1735903999999999</v>
      </c>
      <c r="L44" s="1">
        <v>-101.063349</v>
      </c>
      <c r="M44" s="1">
        <v>16.211500000000001</v>
      </c>
      <c r="N44" s="1">
        <v>20.742532799999999</v>
      </c>
      <c r="O44" s="1">
        <v>28.664833300000002</v>
      </c>
      <c r="P44" s="1">
        <v>14.468999999999999</v>
      </c>
      <c r="Q44" s="1">
        <v>9</v>
      </c>
      <c r="R44" s="1">
        <v>25</v>
      </c>
      <c r="S44" s="1">
        <v>0.12166667</v>
      </c>
      <c r="T44" s="1">
        <v>1.6825630000000001E-2</v>
      </c>
      <c r="U44" s="1">
        <v>59</v>
      </c>
      <c r="V44" s="1">
        <v>5.2254831800000003</v>
      </c>
      <c r="W44"/>
      <c r="X44" s="16">
        <v>43.072521000000002</v>
      </c>
      <c r="Y44" s="17">
        <v>-70.885059999999996</v>
      </c>
      <c r="Z44"/>
      <c r="AA44" s="1" t="s">
        <v>36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x14ac:dyDescent="0.25">
      <c r="A45" t="s">
        <v>95</v>
      </c>
      <c r="B45" t="s">
        <v>44</v>
      </c>
      <c r="C45">
        <v>28.6</v>
      </c>
      <c r="D45" t="s">
        <v>122</v>
      </c>
      <c r="E45" s="1" t="s">
        <v>123</v>
      </c>
      <c r="G45" s="12">
        <v>45084</v>
      </c>
      <c r="H45" s="12">
        <v>45930</v>
      </c>
      <c r="I45" s="1">
        <v>1064.3789999999999</v>
      </c>
      <c r="J45" s="1">
        <v>-32917.8963</v>
      </c>
      <c r="K45" s="1">
        <v>2.7718203099999998</v>
      </c>
      <c r="L45" s="1">
        <v>-85.723688199999998</v>
      </c>
      <c r="M45" s="1">
        <v>67.554749999999999</v>
      </c>
      <c r="N45" s="1">
        <v>25.094836000000001</v>
      </c>
      <c r="O45" s="1">
        <v>35.074249999999999</v>
      </c>
      <c r="P45" s="1">
        <v>16.965250000000001</v>
      </c>
      <c r="Q45" s="1">
        <v>41</v>
      </c>
      <c r="R45" s="1">
        <v>155</v>
      </c>
      <c r="S45" s="1">
        <v>0.26317204</v>
      </c>
      <c r="T45" s="1">
        <v>4.0314170000000003E-2</v>
      </c>
      <c r="U45" s="1">
        <v>384</v>
      </c>
      <c r="V45" s="1">
        <v>10.690106999999999</v>
      </c>
      <c r="X45" s="17">
        <v>37.272784000000001</v>
      </c>
      <c r="Y45" s="17">
        <v>-75.806096999999994</v>
      </c>
      <c r="AA45" s="1" t="s">
        <v>36</v>
      </c>
    </row>
    <row r="46" spans="1:47" x14ac:dyDescent="0.25">
      <c r="A46" t="s">
        <v>95</v>
      </c>
      <c r="B46" t="s">
        <v>44</v>
      </c>
      <c r="C46">
        <v>28.6</v>
      </c>
      <c r="D46" t="s">
        <v>124</v>
      </c>
      <c r="E46" s="1" t="s">
        <v>125</v>
      </c>
      <c r="G46" s="12">
        <v>45413</v>
      </c>
      <c r="H46" s="12">
        <v>45908</v>
      </c>
      <c r="I46" s="1">
        <v>316.89625000000001</v>
      </c>
      <c r="J46" s="1">
        <v>-30650.7389</v>
      </c>
      <c r="K46" s="1">
        <v>1.2625348599999999</v>
      </c>
      <c r="L46" s="1">
        <v>-122.114498</v>
      </c>
      <c r="M46" s="1">
        <v>36.746250000000003</v>
      </c>
      <c r="N46" s="1">
        <v>23.392478799999999</v>
      </c>
      <c r="O46" s="1">
        <v>32.896000000000001</v>
      </c>
      <c r="P46" s="1">
        <v>13.139250000000001</v>
      </c>
      <c r="Q46" s="1">
        <v>15</v>
      </c>
      <c r="R46" s="1">
        <v>75</v>
      </c>
      <c r="S46" s="1">
        <v>0.16777777999999999</v>
      </c>
      <c r="T46" s="1">
        <v>2.0851689999999999E-2</v>
      </c>
      <c r="U46" s="1">
        <v>251</v>
      </c>
      <c r="V46" s="1">
        <v>5.2149887799999997</v>
      </c>
      <c r="X46" s="17">
        <v>37.614136000000002</v>
      </c>
      <c r="Y46" s="17">
        <v>-75.685809000000006</v>
      </c>
      <c r="Z46" t="s">
        <v>126</v>
      </c>
      <c r="AA46" s="1" t="s">
        <v>36</v>
      </c>
    </row>
    <row r="47" spans="1:47" x14ac:dyDescent="0.25">
      <c r="A47" t="s">
        <v>28</v>
      </c>
      <c r="B47" t="s">
        <v>29</v>
      </c>
      <c r="C47">
        <v>25</v>
      </c>
      <c r="D47" t="s">
        <v>127</v>
      </c>
      <c r="E47" s="1" t="s">
        <v>128</v>
      </c>
      <c r="F47" t="s">
        <v>37</v>
      </c>
      <c r="G47" s="12">
        <v>44785</v>
      </c>
      <c r="H47" s="12">
        <v>45863</v>
      </c>
      <c r="I47">
        <v>377.25908333333302</v>
      </c>
      <c r="J47">
        <v>-61146.518633333297</v>
      </c>
      <c r="K47">
        <v>0.89610233570862996</v>
      </c>
      <c r="L47">
        <v>-145.24113689627899</v>
      </c>
      <c r="M47">
        <v>35.016500000000001</v>
      </c>
      <c r="N47">
        <v>18.9524679429447</v>
      </c>
      <c r="O47">
        <v>27.973500000000001</v>
      </c>
      <c r="P47">
        <v>5.6550000000000002</v>
      </c>
      <c r="Q47">
        <v>16</v>
      </c>
      <c r="R47">
        <v>46</v>
      </c>
      <c r="S47">
        <v>0.44836956521739102</v>
      </c>
      <c r="T47">
        <v>0.112306259359779</v>
      </c>
      <c r="U47">
        <v>421</v>
      </c>
      <c r="V47">
        <v>4.9185214626391103</v>
      </c>
      <c r="X47" s="17">
        <v>42.058399000000001</v>
      </c>
      <c r="Y47" s="17">
        <v>-70.161844000000002</v>
      </c>
      <c r="AA47" s="1" t="s">
        <v>36</v>
      </c>
      <c r="AB47">
        <v>0</v>
      </c>
    </row>
    <row r="48" spans="1:47" x14ac:dyDescent="0.25">
      <c r="A48" t="s">
        <v>28</v>
      </c>
      <c r="B48" t="s">
        <v>44</v>
      </c>
      <c r="C48">
        <v>25</v>
      </c>
      <c r="D48" t="s">
        <v>129</v>
      </c>
      <c r="E48" t="s">
        <v>130</v>
      </c>
      <c r="G48" s="2">
        <v>45552</v>
      </c>
      <c r="H48" s="2">
        <v>45908</v>
      </c>
      <c r="I48" s="1">
        <v>0</v>
      </c>
      <c r="J48" s="1">
        <v>-21678.6633</v>
      </c>
      <c r="K48" s="1">
        <v>0</v>
      </c>
      <c r="L48" s="1">
        <v>-149.50802200000001</v>
      </c>
      <c r="M48" s="1">
        <v>0</v>
      </c>
      <c r="N48" s="1">
        <v>18.724817300000002</v>
      </c>
      <c r="O48" s="1">
        <v>24.313749999999999</v>
      </c>
      <c r="P48" s="1">
        <v>10.5585</v>
      </c>
      <c r="Q48" s="1">
        <v>0</v>
      </c>
      <c r="R48" s="1">
        <v>0</v>
      </c>
      <c r="S48" s="1">
        <v>0</v>
      </c>
      <c r="T48" s="1">
        <v>0</v>
      </c>
      <c r="U48" s="1">
        <v>145</v>
      </c>
      <c r="V48" s="1">
        <v>0</v>
      </c>
      <c r="X48" s="17">
        <v>41.309640000000002</v>
      </c>
      <c r="Y48" s="17">
        <v>-70.254440000000002</v>
      </c>
    </row>
    <row r="49" spans="1:25" s="33" customFormat="1" x14ac:dyDescent="0.25">
      <c r="A49" s="33" t="s">
        <v>54</v>
      </c>
      <c r="B49" s="33" t="s">
        <v>55</v>
      </c>
      <c r="C49" s="33">
        <v>28.6</v>
      </c>
      <c r="D49" s="33" t="s">
        <v>131</v>
      </c>
      <c r="E49" s="33" t="s">
        <v>132</v>
      </c>
      <c r="G49" s="35">
        <v>45181</v>
      </c>
      <c r="H49" s="35">
        <v>45565</v>
      </c>
      <c r="I49" s="34">
        <v>50.648249999999997</v>
      </c>
      <c r="J49" s="34">
        <v>-24474.751899999999</v>
      </c>
      <c r="K49" s="34">
        <v>0.29446656999999998</v>
      </c>
      <c r="L49" s="34">
        <v>-142.29506900000001</v>
      </c>
      <c r="M49" s="34">
        <v>13.01925</v>
      </c>
      <c r="N49" s="34">
        <v>22.669786999999999</v>
      </c>
      <c r="O49" s="34">
        <v>31.293500000000002</v>
      </c>
      <c r="P49" s="34">
        <v>13.773999999999999</v>
      </c>
      <c r="Q49" s="34">
        <v>6</v>
      </c>
      <c r="R49" s="34">
        <v>13</v>
      </c>
      <c r="S49" s="34">
        <v>0.18589744</v>
      </c>
      <c r="T49" s="34">
        <v>2.6527160000000001E-2</v>
      </c>
      <c r="U49" s="34">
        <v>172</v>
      </c>
      <c r="V49" s="34">
        <v>1.40913508</v>
      </c>
      <c r="X49" s="36">
        <v>40.660730000000001</v>
      </c>
      <c r="Y49" s="37">
        <v>-73.200599999999994</v>
      </c>
    </row>
    <row r="50" spans="1:25" s="33" customFormat="1" x14ac:dyDescent="0.25">
      <c r="A50" s="33" t="s">
        <v>54</v>
      </c>
      <c r="B50" s="33" t="s">
        <v>55</v>
      </c>
      <c r="C50" s="33">
        <v>28.6</v>
      </c>
      <c r="D50" s="33" t="s">
        <v>133</v>
      </c>
      <c r="E50" s="33" t="s">
        <v>134</v>
      </c>
      <c r="G50" s="35">
        <v>45470</v>
      </c>
      <c r="H50" s="35">
        <v>45930</v>
      </c>
      <c r="I50" s="34">
        <v>161.68275</v>
      </c>
      <c r="J50" s="34">
        <v>-31128.074000000001</v>
      </c>
      <c r="K50" s="34">
        <v>0.64932831000000002</v>
      </c>
      <c r="L50" s="34">
        <v>-125.012345</v>
      </c>
      <c r="M50" s="34">
        <v>26.622250000000001</v>
      </c>
      <c r="N50" s="34">
        <v>23.4039532</v>
      </c>
      <c r="O50" s="34">
        <v>30.558</v>
      </c>
      <c r="P50" s="34">
        <v>12.449</v>
      </c>
      <c r="Q50" s="34">
        <v>8</v>
      </c>
      <c r="R50" s="34">
        <v>25</v>
      </c>
      <c r="S50" s="34">
        <v>0.41</v>
      </c>
      <c r="T50" s="34">
        <v>7.0328260000000004E-2</v>
      </c>
      <c r="U50" s="34">
        <v>249</v>
      </c>
      <c r="V50" s="34">
        <v>4.1254402099999998</v>
      </c>
      <c r="X50" s="38">
        <v>40.670960000000001</v>
      </c>
      <c r="Y50" s="38">
        <v>-73.057810000000003</v>
      </c>
    </row>
    <row r="51" spans="1:25" s="33" customFormat="1" x14ac:dyDescent="0.25">
      <c r="A51" s="33" t="s">
        <v>54</v>
      </c>
      <c r="B51" s="33" t="s">
        <v>55</v>
      </c>
      <c r="C51" s="33">
        <v>28.6</v>
      </c>
      <c r="D51" s="33" t="s">
        <v>135</v>
      </c>
      <c r="E51" s="34" t="s">
        <v>136</v>
      </c>
      <c r="G51" s="35">
        <v>45778</v>
      </c>
      <c r="H51" s="35">
        <v>45838</v>
      </c>
      <c r="I51" s="34">
        <v>0</v>
      </c>
      <c r="J51" s="34">
        <v>-18361.599900000001</v>
      </c>
      <c r="K51" s="34">
        <v>0</v>
      </c>
      <c r="L51" s="34">
        <v>-301.00983500000001</v>
      </c>
      <c r="M51" s="34">
        <v>0</v>
      </c>
      <c r="N51" s="34">
        <v>15.979150799999999</v>
      </c>
      <c r="O51" s="34">
        <v>23.052</v>
      </c>
      <c r="P51" s="34">
        <v>9.25</v>
      </c>
      <c r="Q51" s="34">
        <v>0</v>
      </c>
      <c r="R51" s="34">
        <v>0</v>
      </c>
      <c r="S51" s="34">
        <v>0</v>
      </c>
      <c r="T51" s="34">
        <v>0</v>
      </c>
      <c r="U51" s="34">
        <v>61</v>
      </c>
      <c r="V51" s="34">
        <v>0</v>
      </c>
      <c r="X51" s="38">
        <v>40.856149010000003</v>
      </c>
      <c r="Y51" s="38">
        <v>-72.499080039999996</v>
      </c>
    </row>
    <row r="52" spans="1:25" s="33" customFormat="1" x14ac:dyDescent="0.25">
      <c r="A52" s="33" t="s">
        <v>54</v>
      </c>
      <c r="B52" s="33" t="s">
        <v>55</v>
      </c>
      <c r="C52" s="33">
        <v>28.6</v>
      </c>
      <c r="D52" s="33" t="s">
        <v>137</v>
      </c>
      <c r="E52" s="34" t="s">
        <v>138</v>
      </c>
      <c r="G52" s="35">
        <v>45166</v>
      </c>
      <c r="H52" s="35">
        <v>45839</v>
      </c>
      <c r="I52" s="34">
        <v>19.286750000000001</v>
      </c>
      <c r="J52" s="34">
        <v>-47408.540999999997</v>
      </c>
      <c r="K52" s="34">
        <v>7.7456830000000004E-2</v>
      </c>
      <c r="L52" s="34">
        <v>-190.395747</v>
      </c>
      <c r="M52" s="34">
        <v>6.6772499999999999</v>
      </c>
      <c r="N52" s="34">
        <v>20.625292900000002</v>
      </c>
      <c r="O52" s="34">
        <v>31.77825</v>
      </c>
      <c r="P52" s="34">
        <v>10.2835</v>
      </c>
      <c r="Q52" s="34">
        <v>2</v>
      </c>
      <c r="R52" s="34">
        <v>11</v>
      </c>
      <c r="S52" s="34">
        <v>9.4696970000000005E-2</v>
      </c>
      <c r="T52" s="34">
        <v>1.386591E-2</v>
      </c>
      <c r="U52" s="34">
        <v>249</v>
      </c>
      <c r="V52" s="34">
        <v>0.42016807</v>
      </c>
      <c r="X52" s="38">
        <v>40.858483040000003</v>
      </c>
      <c r="Y52" s="38">
        <v>-72.447024979999995</v>
      </c>
    </row>
    <row r="53" spans="1:25" s="33" customFormat="1" x14ac:dyDescent="0.25">
      <c r="A53" s="33" t="s">
        <v>54</v>
      </c>
      <c r="B53" s="33" t="s">
        <v>55</v>
      </c>
      <c r="C53" s="33">
        <v>28.6</v>
      </c>
      <c r="D53" s="33" t="s">
        <v>139</v>
      </c>
      <c r="E53" s="34" t="s">
        <v>140</v>
      </c>
      <c r="G53" s="35">
        <v>45103</v>
      </c>
      <c r="H53" s="35">
        <v>45565</v>
      </c>
      <c r="I53" s="34">
        <v>3.1875</v>
      </c>
      <c r="J53" s="34">
        <v>-35804.669300000001</v>
      </c>
      <c r="K53" s="34">
        <v>1.2749999999999999E-2</v>
      </c>
      <c r="L53" s="34">
        <v>-143.21867700000001</v>
      </c>
      <c r="M53" s="34">
        <v>2.4609999999999999</v>
      </c>
      <c r="N53" s="34">
        <v>22.608785000000001</v>
      </c>
      <c r="O53" s="34">
        <v>30.103750000000002</v>
      </c>
      <c r="P53" s="34">
        <v>11.940250000000001</v>
      </c>
      <c r="Q53" s="34">
        <v>2</v>
      </c>
      <c r="R53" s="34">
        <v>5</v>
      </c>
      <c r="S53" s="34">
        <v>7.4999999999999997E-2</v>
      </c>
      <c r="T53" s="34">
        <v>1.559024E-2</v>
      </c>
      <c r="U53" s="34">
        <v>250</v>
      </c>
      <c r="V53" s="34">
        <v>0.15037594000000001</v>
      </c>
      <c r="X53" s="38">
        <v>40.831479999999999</v>
      </c>
      <c r="Y53" s="38">
        <v>-72.553430000000006</v>
      </c>
    </row>
    <row r="54" spans="1:25" x14ac:dyDescent="0.25">
      <c r="A54" t="s">
        <v>54</v>
      </c>
      <c r="B54" t="s">
        <v>55</v>
      </c>
      <c r="C54">
        <v>25</v>
      </c>
      <c r="D54" t="s">
        <v>131</v>
      </c>
      <c r="E54" t="s">
        <v>132</v>
      </c>
      <c r="G54" s="2">
        <v>45181</v>
      </c>
      <c r="H54" s="2">
        <v>45565</v>
      </c>
      <c r="I54" s="1">
        <v>1830.78133</v>
      </c>
      <c r="J54" s="1">
        <v>-11466.084999999999</v>
      </c>
      <c r="K54" s="1">
        <v>10.6440775</v>
      </c>
      <c r="L54" s="1">
        <v>-66.663284899999994</v>
      </c>
      <c r="M54" s="1">
        <v>82.017499999999998</v>
      </c>
      <c r="N54" s="1">
        <v>22.669786999999999</v>
      </c>
      <c r="O54" s="1">
        <v>31.293500000000002</v>
      </c>
      <c r="P54" s="1">
        <v>13.773999999999999</v>
      </c>
      <c r="Q54" s="1">
        <v>38</v>
      </c>
      <c r="R54" s="1">
        <v>65</v>
      </c>
      <c r="S54" s="1">
        <v>0.75641026</v>
      </c>
      <c r="T54" s="1">
        <v>0.24499910999999999</v>
      </c>
      <c r="U54" s="1">
        <v>172</v>
      </c>
      <c r="V54" s="1">
        <v>28.668610300000001</v>
      </c>
      <c r="X54" s="17">
        <v>40.660730000000001</v>
      </c>
      <c r="Y54" s="16">
        <v>-73.200599999999994</v>
      </c>
    </row>
    <row r="55" spans="1:25" x14ac:dyDescent="0.25">
      <c r="A55" t="s">
        <v>54</v>
      </c>
      <c r="B55" t="s">
        <v>55</v>
      </c>
      <c r="C55">
        <v>25</v>
      </c>
      <c r="D55" t="s">
        <v>133</v>
      </c>
      <c r="E55" t="s">
        <v>134</v>
      </c>
      <c r="G55" s="2">
        <v>45470</v>
      </c>
      <c r="H55" s="2">
        <v>45930</v>
      </c>
      <c r="I55" s="1">
        <v>4731.0455000000002</v>
      </c>
      <c r="J55" s="1">
        <v>-14259.436799999999</v>
      </c>
      <c r="K55" s="1">
        <v>19.0001827</v>
      </c>
      <c r="L55" s="1">
        <v>-57.2668143</v>
      </c>
      <c r="M55" s="1">
        <v>113.02225</v>
      </c>
      <c r="N55" s="1">
        <v>23.4039532</v>
      </c>
      <c r="O55" s="1">
        <v>30.558</v>
      </c>
      <c r="P55" s="1">
        <v>12.449</v>
      </c>
      <c r="Q55" s="1">
        <v>51</v>
      </c>
      <c r="R55" s="1">
        <v>39</v>
      </c>
      <c r="S55" s="1">
        <v>2.5277777800000001</v>
      </c>
      <c r="T55" s="1">
        <v>1.02258998</v>
      </c>
      <c r="U55" s="1">
        <v>249</v>
      </c>
      <c r="V55" s="1">
        <v>39.678014400000002</v>
      </c>
      <c r="X55" s="32">
        <v>40.670960000000001</v>
      </c>
      <c r="Y55" s="32">
        <v>-73.057810000000003</v>
      </c>
    </row>
    <row r="56" spans="1:25" x14ac:dyDescent="0.25">
      <c r="A56" t="s">
        <v>54</v>
      </c>
      <c r="B56" t="s">
        <v>55</v>
      </c>
      <c r="C56">
        <v>25</v>
      </c>
      <c r="D56" t="s">
        <v>135</v>
      </c>
      <c r="E56" s="1" t="s">
        <v>136</v>
      </c>
      <c r="G56" s="2">
        <v>45778</v>
      </c>
      <c r="H56" s="2">
        <v>45838</v>
      </c>
      <c r="I56" s="1">
        <v>0</v>
      </c>
      <c r="J56" s="1">
        <v>-13127.1999</v>
      </c>
      <c r="K56" s="1">
        <v>0</v>
      </c>
      <c r="L56" s="1">
        <v>-215.19999899999999</v>
      </c>
      <c r="M56" s="1">
        <v>0</v>
      </c>
      <c r="N56" s="1">
        <v>15.979150799999999</v>
      </c>
      <c r="O56" s="1">
        <v>23.052</v>
      </c>
      <c r="P56" s="1">
        <v>9.25</v>
      </c>
      <c r="Q56" s="1">
        <v>0</v>
      </c>
      <c r="R56" s="1">
        <v>0</v>
      </c>
      <c r="S56" s="1">
        <v>0</v>
      </c>
      <c r="T56" s="1">
        <v>0</v>
      </c>
      <c r="U56" s="1">
        <v>61</v>
      </c>
      <c r="V56" s="1">
        <v>0</v>
      </c>
      <c r="X56" s="19">
        <v>40.856149010000003</v>
      </c>
      <c r="Y56" s="19">
        <v>-72.499080039999996</v>
      </c>
    </row>
    <row r="57" spans="1:25" x14ac:dyDescent="0.25">
      <c r="A57" t="s">
        <v>54</v>
      </c>
      <c r="B57" t="s">
        <v>55</v>
      </c>
      <c r="C57">
        <v>25</v>
      </c>
      <c r="D57" t="s">
        <v>137</v>
      </c>
      <c r="E57" s="1" t="s">
        <v>138</v>
      </c>
      <c r="G57" s="2">
        <v>45166</v>
      </c>
      <c r="H57" s="2">
        <v>45839</v>
      </c>
      <c r="I57" s="1">
        <v>928.17100000000005</v>
      </c>
      <c r="J57" s="1">
        <v>-26926.225299999998</v>
      </c>
      <c r="K57" s="1">
        <v>3.7275943800000002</v>
      </c>
      <c r="L57" s="1">
        <v>-108.137451</v>
      </c>
      <c r="M57" s="1">
        <v>52.795499999999997</v>
      </c>
      <c r="N57" s="1">
        <v>20.625292900000002</v>
      </c>
      <c r="O57" s="1">
        <v>31.77825</v>
      </c>
      <c r="P57" s="1">
        <v>10.2835</v>
      </c>
      <c r="Q57" s="1">
        <v>23</v>
      </c>
      <c r="R57" s="1">
        <v>90</v>
      </c>
      <c r="S57" s="1">
        <v>0.35138889000000001</v>
      </c>
      <c r="T57" s="1">
        <v>5.3126720000000002E-2</v>
      </c>
      <c r="U57" s="1">
        <v>249</v>
      </c>
      <c r="V57" s="1">
        <v>12.7563025</v>
      </c>
      <c r="X57" s="32">
        <v>40.858483040000003</v>
      </c>
      <c r="Y57" s="32">
        <v>-72.447024979999995</v>
      </c>
    </row>
    <row r="58" spans="1:25" x14ac:dyDescent="0.25">
      <c r="A58" t="s">
        <v>54</v>
      </c>
      <c r="B58" t="s">
        <v>55</v>
      </c>
      <c r="C58">
        <v>25</v>
      </c>
      <c r="D58" t="s">
        <v>139</v>
      </c>
      <c r="E58" s="1" t="s">
        <v>140</v>
      </c>
      <c r="G58" s="2">
        <v>45103</v>
      </c>
      <c r="H58" s="2">
        <v>45565</v>
      </c>
      <c r="I58" s="1">
        <v>1842.25125</v>
      </c>
      <c r="J58" s="1">
        <v>-16126.532999999999</v>
      </c>
      <c r="K58" s="1">
        <v>7.3690049999999996</v>
      </c>
      <c r="L58" s="1">
        <v>-64.506131999999994</v>
      </c>
      <c r="M58" s="1">
        <v>70.747500000000002</v>
      </c>
      <c r="N58" s="1">
        <v>22.608785000000001</v>
      </c>
      <c r="O58" s="1">
        <v>30.103750000000002</v>
      </c>
      <c r="P58" s="1">
        <v>11.940250000000001</v>
      </c>
      <c r="Q58" s="1">
        <v>36</v>
      </c>
      <c r="R58" s="1">
        <v>119</v>
      </c>
      <c r="S58" s="1">
        <v>0.52556022000000002</v>
      </c>
      <c r="T58" s="1">
        <v>0.1152995</v>
      </c>
      <c r="U58" s="1">
        <v>250</v>
      </c>
      <c r="V58" s="1">
        <v>25.0793651</v>
      </c>
      <c r="X58" s="32">
        <v>40.831479999999999</v>
      </c>
      <c r="Y58" s="32">
        <v>-72.553430000000006</v>
      </c>
    </row>
    <row r="59" spans="1:25" x14ac:dyDescent="0.25">
      <c r="A59" s="21" t="s">
        <v>100</v>
      </c>
      <c r="B59" s="21" t="s">
        <v>141</v>
      </c>
      <c r="C59" s="21">
        <v>28.6</v>
      </c>
      <c r="D59" s="21" t="s">
        <v>142</v>
      </c>
      <c r="E59" s="1" t="s">
        <v>143</v>
      </c>
      <c r="G59" s="2">
        <v>45492</v>
      </c>
      <c r="H59" s="2">
        <v>45930</v>
      </c>
      <c r="I59" s="1">
        <v>1950.2638300000001</v>
      </c>
      <c r="J59" s="1">
        <v>-13197.8572</v>
      </c>
      <c r="K59" s="1">
        <v>8.5914706299999999</v>
      </c>
      <c r="L59" s="1">
        <v>-58.140339900000001</v>
      </c>
      <c r="M59" s="1">
        <v>98.798000000000002</v>
      </c>
      <c r="N59" s="1">
        <v>26.5320906</v>
      </c>
      <c r="O59" s="1">
        <v>34.730499999999999</v>
      </c>
      <c r="P59" s="1">
        <v>19.3331667</v>
      </c>
      <c r="Q59" s="1">
        <v>49</v>
      </c>
      <c r="R59" s="1">
        <v>67</v>
      </c>
      <c r="S59" s="1">
        <v>0.82773631999999997</v>
      </c>
      <c r="T59" s="1">
        <v>0.18251976</v>
      </c>
      <c r="U59" s="1">
        <v>227</v>
      </c>
      <c r="V59" s="1">
        <v>24.480412000000001</v>
      </c>
      <c r="X59" s="18">
        <v>34.903799999999997</v>
      </c>
      <c r="Y59" s="17">
        <v>-76.264880000000005</v>
      </c>
    </row>
    <row r="60" spans="1:25" x14ac:dyDescent="0.25">
      <c r="A60" t="s">
        <v>100</v>
      </c>
      <c r="B60" t="s">
        <v>101</v>
      </c>
      <c r="C60">
        <v>28.6</v>
      </c>
      <c r="D60" t="s">
        <v>144</v>
      </c>
      <c r="E60" s="1" t="s">
        <v>145</v>
      </c>
      <c r="G60" s="2">
        <v>45778</v>
      </c>
      <c r="H60" s="2">
        <v>45912</v>
      </c>
      <c r="I60" s="1">
        <v>1243.2625</v>
      </c>
      <c r="J60" s="1">
        <v>-8439.0499999999993</v>
      </c>
      <c r="K60" s="1">
        <v>9.2093518499999991</v>
      </c>
      <c r="L60" s="1">
        <v>-62.511481500000002</v>
      </c>
      <c r="M60" s="1">
        <v>76.13</v>
      </c>
      <c r="N60" s="1">
        <v>26.3711789</v>
      </c>
      <c r="O60" s="1">
        <v>34.232500000000002</v>
      </c>
      <c r="P60" s="1">
        <v>19.012499999999999</v>
      </c>
      <c r="Q60" s="1">
        <v>31</v>
      </c>
      <c r="R60" s="1">
        <v>55</v>
      </c>
      <c r="S60" s="1">
        <v>0.56666667000000004</v>
      </c>
      <c r="T60" s="1">
        <v>0.13392039</v>
      </c>
      <c r="U60" s="1">
        <v>135</v>
      </c>
      <c r="V60" s="1">
        <v>23.1149567</v>
      </c>
      <c r="X60" s="17">
        <v>35.226329999999997</v>
      </c>
      <c r="Y60" s="17">
        <v>-75.728999999999999</v>
      </c>
    </row>
    <row r="61" spans="1:25" x14ac:dyDescent="0.25">
      <c r="A61" t="s">
        <v>100</v>
      </c>
      <c r="B61" t="s">
        <v>101</v>
      </c>
      <c r="C61">
        <v>28.6</v>
      </c>
      <c r="D61" t="s">
        <v>146</v>
      </c>
      <c r="E61" s="1" t="s">
        <v>147</v>
      </c>
      <c r="G61" s="2">
        <v>45489</v>
      </c>
      <c r="H61" s="2">
        <v>45930</v>
      </c>
      <c r="I61" s="1">
        <v>1840.26</v>
      </c>
      <c r="J61" s="1">
        <v>-15680.607</v>
      </c>
      <c r="K61" s="1">
        <v>8.0011304299999999</v>
      </c>
      <c r="L61" s="1">
        <v>-68.176552200000003</v>
      </c>
      <c r="M61" s="1">
        <v>76.415000000000006</v>
      </c>
      <c r="N61" s="1">
        <v>26.098088499999999</v>
      </c>
      <c r="O61" s="1">
        <v>38.597499999999997</v>
      </c>
      <c r="P61" s="1">
        <v>19.517499999999998</v>
      </c>
      <c r="Q61" s="1">
        <v>46</v>
      </c>
      <c r="R61" s="1">
        <v>122</v>
      </c>
      <c r="S61" s="1">
        <v>0.29269126000000001</v>
      </c>
      <c r="T61" s="1">
        <v>4.7279420000000003E-2</v>
      </c>
      <c r="U61" s="1">
        <v>230</v>
      </c>
      <c r="V61" s="1">
        <v>15.5563623</v>
      </c>
      <c r="X61" s="17">
        <v>35.094830000000002</v>
      </c>
      <c r="Y61" s="17">
        <v>-76.008780000000002</v>
      </c>
    </row>
    <row r="62" spans="1:25" x14ac:dyDescent="0.25">
      <c r="A62" t="s">
        <v>100</v>
      </c>
      <c r="B62" t="s">
        <v>101</v>
      </c>
      <c r="C62">
        <v>28.6</v>
      </c>
      <c r="D62" t="s">
        <v>148</v>
      </c>
      <c r="E62" s="1" t="s">
        <v>149</v>
      </c>
      <c r="G62" s="2">
        <v>45418</v>
      </c>
      <c r="H62" s="2">
        <v>45901</v>
      </c>
      <c r="I62" s="1">
        <v>1845.9480000000001</v>
      </c>
      <c r="J62" s="1">
        <v>-13096.874299999999</v>
      </c>
      <c r="K62" s="1">
        <v>8.2408392900000003</v>
      </c>
      <c r="L62" s="1">
        <v>-58.468188599999998</v>
      </c>
      <c r="M62" s="1">
        <v>99.822500000000005</v>
      </c>
      <c r="N62" s="1">
        <v>26.485472099999999</v>
      </c>
      <c r="O62" s="1">
        <v>34.26</v>
      </c>
      <c r="P62" s="1">
        <v>17.940249999999999</v>
      </c>
      <c r="Q62" s="1">
        <v>24</v>
      </c>
      <c r="R62" s="1">
        <v>67</v>
      </c>
      <c r="S62" s="1">
        <v>0.78047264000000005</v>
      </c>
      <c r="T62" s="1">
        <v>0.14865919999999999</v>
      </c>
      <c r="U62" s="1">
        <v>224</v>
      </c>
      <c r="V62" s="1">
        <v>23.5902256</v>
      </c>
      <c r="X62">
        <v>35.483600000000003</v>
      </c>
      <c r="Y62">
        <v>-75.497</v>
      </c>
    </row>
    <row r="63" spans="1:25" x14ac:dyDescent="0.25">
      <c r="A63" t="s">
        <v>100</v>
      </c>
      <c r="B63" t="s">
        <v>141</v>
      </c>
      <c r="C63">
        <v>28.6</v>
      </c>
      <c r="D63" t="s">
        <v>150</v>
      </c>
      <c r="E63" s="1" t="s">
        <v>151</v>
      </c>
      <c r="G63" s="2">
        <v>45435</v>
      </c>
      <c r="H63" s="2">
        <v>45930</v>
      </c>
      <c r="I63" s="1">
        <v>2370.69</v>
      </c>
      <c r="J63" s="1">
        <v>-14741.1175</v>
      </c>
      <c r="K63" s="1">
        <v>8.3475000000000001</v>
      </c>
      <c r="L63" s="1">
        <v>-51.905343299999998</v>
      </c>
      <c r="M63" s="1">
        <v>55.167499999999997</v>
      </c>
      <c r="N63" s="1">
        <v>26.7840989</v>
      </c>
      <c r="O63" s="1">
        <v>38.06</v>
      </c>
      <c r="P63" s="1">
        <v>18.702500000000001</v>
      </c>
      <c r="Q63" s="1">
        <v>49</v>
      </c>
      <c r="R63" s="1">
        <v>195</v>
      </c>
      <c r="S63" s="1">
        <v>0.33824786000000001</v>
      </c>
      <c r="T63" s="1">
        <v>2.9541560000000001E-2</v>
      </c>
      <c r="U63" s="1">
        <v>284</v>
      </c>
      <c r="V63" s="1">
        <v>23.334316000000001</v>
      </c>
      <c r="X63" s="17">
        <v>34.660350000000001</v>
      </c>
      <c r="Y63" s="17">
        <v>-76.526300000000006</v>
      </c>
    </row>
    <row r="64" spans="1:25" x14ac:dyDescent="0.25">
      <c r="A64" s="21" t="s">
        <v>100</v>
      </c>
      <c r="B64" s="21" t="s">
        <v>141</v>
      </c>
      <c r="C64" s="21">
        <v>28.6</v>
      </c>
      <c r="D64" s="21" t="s">
        <v>152</v>
      </c>
      <c r="E64" s="20" t="s">
        <v>153</v>
      </c>
      <c r="G64" s="2">
        <v>45778</v>
      </c>
      <c r="H64" s="2">
        <v>45930</v>
      </c>
      <c r="I64" s="1">
        <v>1736.2149999999999</v>
      </c>
      <c r="J64" s="1">
        <v>-8507.1200000000008</v>
      </c>
      <c r="K64" s="1">
        <v>12.490755399999999</v>
      </c>
      <c r="L64" s="1">
        <v>-61.202302199999998</v>
      </c>
      <c r="M64" s="1">
        <v>115.5675</v>
      </c>
      <c r="N64" s="1">
        <v>26.584016600000002</v>
      </c>
      <c r="O64" s="1">
        <v>35.344999999999999</v>
      </c>
      <c r="P64" s="1">
        <v>17.887499999999999</v>
      </c>
      <c r="Q64" s="1">
        <v>35</v>
      </c>
      <c r="R64" s="1">
        <v>50</v>
      </c>
      <c r="S64" s="1">
        <v>0.71250000000000002</v>
      </c>
      <c r="T64" s="1">
        <v>0.21937492</v>
      </c>
      <c r="U64" s="1">
        <v>139</v>
      </c>
      <c r="V64" s="1">
        <v>25.784077199999999</v>
      </c>
      <c r="X64">
        <v>34.768430000000002</v>
      </c>
      <c r="Y64">
        <v>-76.434219999999996</v>
      </c>
    </row>
    <row r="65" spans="1:25" x14ac:dyDescent="0.25">
      <c r="A65" t="s">
        <v>100</v>
      </c>
      <c r="B65" t="s">
        <v>101</v>
      </c>
      <c r="C65">
        <v>28.6</v>
      </c>
      <c r="D65" t="s">
        <v>154</v>
      </c>
      <c r="E65" s="1" t="s">
        <v>155</v>
      </c>
      <c r="G65" s="2">
        <v>38838</v>
      </c>
      <c r="H65" s="2">
        <v>45930</v>
      </c>
      <c r="I65" s="1">
        <v>8122.8965600000001</v>
      </c>
      <c r="J65" s="1">
        <v>-141952.23699999999</v>
      </c>
      <c r="K65" s="1">
        <v>3.6939047600000001</v>
      </c>
      <c r="L65" s="1">
        <v>-64.553086199999996</v>
      </c>
      <c r="M65" s="1">
        <v>60.024999999999999</v>
      </c>
      <c r="N65" s="1">
        <v>26.001746700000002</v>
      </c>
      <c r="O65" s="1">
        <v>33.15</v>
      </c>
      <c r="P65" s="1">
        <v>11.295</v>
      </c>
      <c r="Q65" s="1">
        <v>52</v>
      </c>
      <c r="R65" s="1">
        <v>912</v>
      </c>
      <c r="S65" s="1">
        <v>0.41328582000000003</v>
      </c>
      <c r="T65" s="1">
        <v>2.2336760000000001E-2</v>
      </c>
      <c r="U65" s="1">
        <v>2199</v>
      </c>
      <c r="V65" s="1">
        <v>17.2900858</v>
      </c>
      <c r="X65">
        <v>35.118290000000002</v>
      </c>
      <c r="Y65">
        <v>-75.986019999999996</v>
      </c>
    </row>
    <row r="66" spans="1:25" x14ac:dyDescent="0.25">
      <c r="A66" t="s">
        <v>100</v>
      </c>
      <c r="B66" t="s">
        <v>141</v>
      </c>
      <c r="C66">
        <v>28.6</v>
      </c>
      <c r="D66" t="s">
        <v>156</v>
      </c>
      <c r="E66" s="20" t="s">
        <v>157</v>
      </c>
      <c r="G66" s="12">
        <v>39569</v>
      </c>
      <c r="H66" s="12">
        <v>45930</v>
      </c>
      <c r="I66" s="20">
        <v>12040.571</v>
      </c>
      <c r="J66" s="20">
        <v>-140072.86199999999</v>
      </c>
      <c r="K66" s="20">
        <v>5.0357887999999997</v>
      </c>
      <c r="L66" s="20">
        <v>-58.583380200000001</v>
      </c>
      <c r="M66" s="20">
        <v>48.132750000000001</v>
      </c>
      <c r="N66" s="20">
        <v>26.350941200000001</v>
      </c>
      <c r="O66" s="20">
        <v>34.289000000000001</v>
      </c>
      <c r="P66" s="20">
        <v>14.89</v>
      </c>
      <c r="Q66" s="20">
        <v>49</v>
      </c>
      <c r="R66" s="20">
        <v>1387</v>
      </c>
      <c r="S66" s="20">
        <v>0.32651405999999999</v>
      </c>
      <c r="T66" s="20">
        <v>1.315941E-2</v>
      </c>
      <c r="U66" s="20">
        <v>2391</v>
      </c>
      <c r="V66" s="20">
        <v>19.068421099999998</v>
      </c>
      <c r="X66">
        <v>34.694519999999997</v>
      </c>
      <c r="Y66">
        <v>-76.618499999999997</v>
      </c>
    </row>
    <row r="67" spans="1:25" x14ac:dyDescent="0.25">
      <c r="A67" t="s">
        <v>100</v>
      </c>
      <c r="B67" t="s">
        <v>141</v>
      </c>
      <c r="C67">
        <v>28.6</v>
      </c>
      <c r="D67" t="s">
        <v>158</v>
      </c>
      <c r="E67" s="1" t="s">
        <v>159</v>
      </c>
      <c r="G67" s="2">
        <v>39569</v>
      </c>
      <c r="H67" s="2">
        <v>45930</v>
      </c>
      <c r="I67" s="1">
        <v>5012.1941299999999</v>
      </c>
      <c r="J67" s="1">
        <v>-140832.715</v>
      </c>
      <c r="K67" s="1">
        <v>2.3258441400000001</v>
      </c>
      <c r="L67" s="1">
        <v>-65.351607999999999</v>
      </c>
      <c r="M67" s="1">
        <v>42.697166699999997</v>
      </c>
      <c r="N67" s="1">
        <v>25.9400099</v>
      </c>
      <c r="O67" s="1">
        <v>32.65025</v>
      </c>
      <c r="P67" s="1">
        <v>14.432499999999999</v>
      </c>
      <c r="Q67" s="1">
        <v>48</v>
      </c>
      <c r="R67" s="1">
        <v>709</v>
      </c>
      <c r="S67" s="1">
        <v>0.41178890000000001</v>
      </c>
      <c r="T67" s="1">
        <v>2.7085000000000001E-2</v>
      </c>
      <c r="U67" s="1">
        <v>2155</v>
      </c>
      <c r="V67" s="1">
        <v>13.87992</v>
      </c>
      <c r="X67">
        <v>34.686920000000001</v>
      </c>
      <c r="Y67" s="25">
        <v>-76.643640000000005</v>
      </c>
    </row>
  </sheetData>
  <autoFilter ref="B1:B72" xr:uid="{198B8F60-5AE1-46B2-AF29-2001F56747CE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B4BA-CB31-49B4-ABC2-F6AC4FA62BB7}">
  <dimension ref="A1:AK139"/>
  <sheetViews>
    <sheetView tabSelected="1" topLeftCell="D121" workbookViewId="0">
      <selection activeCell="A138" sqref="A138:AK139"/>
    </sheetView>
  </sheetViews>
  <sheetFormatPr defaultRowHeight="15" x14ac:dyDescent="0.25"/>
  <cols>
    <col min="4" max="4" width="16.85546875" customWidth="1"/>
    <col min="5" max="5" width="25.42578125" customWidth="1"/>
    <col min="7" max="7" width="10.7109375" customWidth="1"/>
    <col min="8" max="8" width="10.42578125" bestFit="1" customWidth="1"/>
    <col min="9" max="9" width="11.5703125" customWidth="1"/>
    <col min="10" max="10" width="12.7109375" customWidth="1"/>
    <col min="11" max="13" width="9.28515625" bestFit="1" customWidth="1"/>
    <col min="14" max="14" width="5.5703125" customWidth="1"/>
    <col min="15" max="15" width="21.42578125" customWidth="1"/>
    <col min="16" max="18" width="9.28515625" bestFit="1" customWidth="1"/>
    <col min="20" max="25" width="9.28515625" bestFit="1" customWidth="1"/>
    <col min="29" max="29" width="9.28515625" bestFit="1" customWidth="1"/>
  </cols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160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31" t="s">
        <v>161</v>
      </c>
      <c r="AD1" s="31" t="s">
        <v>162</v>
      </c>
      <c r="AE1" s="31" t="s">
        <v>163</v>
      </c>
      <c r="AF1" s="31" t="s">
        <v>164</v>
      </c>
      <c r="AG1" s="31" t="s">
        <v>165</v>
      </c>
      <c r="AH1" s="31" t="s">
        <v>166</v>
      </c>
      <c r="AI1" s="31" t="s">
        <v>167</v>
      </c>
      <c r="AJ1" s="31" t="s">
        <v>168</v>
      </c>
      <c r="AK1" s="31" t="s">
        <v>169</v>
      </c>
    </row>
    <row r="2" spans="1:37" x14ac:dyDescent="0.25">
      <c r="A2" t="s">
        <v>28</v>
      </c>
      <c r="B2" s="9" t="s">
        <v>29</v>
      </c>
      <c r="C2" s="9">
        <v>25</v>
      </c>
      <c r="D2" s="9" t="s">
        <v>30</v>
      </c>
      <c r="E2" s="10" t="s">
        <v>31</v>
      </c>
      <c r="F2" s="10" t="s">
        <v>32</v>
      </c>
      <c r="G2">
        <v>2004</v>
      </c>
      <c r="H2" s="12">
        <v>38108</v>
      </c>
      <c r="I2" s="12">
        <v>38231</v>
      </c>
      <c r="J2">
        <v>422.97500000000002</v>
      </c>
      <c r="K2">
        <v>-12565.42</v>
      </c>
      <c r="L2">
        <v>3.4110887096774198</v>
      </c>
      <c r="M2">
        <v>-101.33403225806499</v>
      </c>
      <c r="N2">
        <v>44.494999999999997</v>
      </c>
      <c r="O2">
        <v>20.908587335044</v>
      </c>
      <c r="P2">
        <v>30.265000000000001</v>
      </c>
      <c r="Q2">
        <v>12.15</v>
      </c>
      <c r="R2">
        <v>8</v>
      </c>
      <c r="S2">
        <v>51</v>
      </c>
      <c r="T2">
        <v>0.27369281045751598</v>
      </c>
      <c r="U2">
        <v>2.93413281486762E-2</v>
      </c>
      <c r="V2">
        <v>124</v>
      </c>
      <c r="W2">
        <v>11.306108673641599</v>
      </c>
      <c r="Y2" s="29">
        <v>41.751730000000002</v>
      </c>
      <c r="Z2">
        <v>-69.955561399999993</v>
      </c>
      <c r="AC2" s="21">
        <f t="shared" ref="AC2:AC59" si="0">V2/153</f>
        <v>0.81045751633986929</v>
      </c>
      <c r="AD2" s="21">
        <f t="shared" ref="AD2:AD59" si="1">MAX(0, MIN(I2, DATE(YEAR(H2),5,31)) - MAX(H2, DATE(YEAR(H2),5,1)) + 1)</f>
        <v>31</v>
      </c>
      <c r="AE2" s="21">
        <f t="shared" ref="AE2:AE59" si="2">MAX(0, MIN(I2, DATE(YEAR(H2),6,31)) - MAX(H2, DATE(YEAR(H2),6,1)) + 1)</f>
        <v>31</v>
      </c>
      <c r="AF2" s="21">
        <f t="shared" ref="AF2:AF59" si="3">MAX(0, MIN(I2, DATE(YEAR(H2),7,31)) - MAX(H2, DATE(YEAR(H2),7,1)) + 1)</f>
        <v>31</v>
      </c>
      <c r="AG2" s="21">
        <f t="shared" ref="AG2:AG59" si="4">MAX(0, MIN(I2, DATE(YEAR(H2),8,31)) - MAX(H2, DATE(YEAR(H2),8,1)) + 1)</f>
        <v>31</v>
      </c>
      <c r="AH2" s="21">
        <f t="shared" ref="AH2:AH59" si="5">MAX(0, MIN(I2, DATE(YEAR(H2),9,31)) - MAX(H2, DATE(YEAR(H2),9,1)) + 1)</f>
        <v>1</v>
      </c>
      <c r="AI2" s="21">
        <f t="shared" ref="AI2:AI59" si="6">COUNTIF(AD2:AH2, "&gt;=10")</f>
        <v>4</v>
      </c>
      <c r="AJ2" s="21" t="str">
        <f t="shared" ref="AJ2:AJ59" si="7">IF(COUNTIF(AD2:AH2,"&gt;=10")&gt;=3,"PASS","FAIL")</f>
        <v>PASS</v>
      </c>
      <c r="AK2" s="21" t="str">
        <f t="shared" ref="AK2:AK59" si="8">IF(AND(AC2&gt;=0.8, COUNTIF(AD2:AH2, "&gt;=10")&gt;=3), "PASS", "FAIL")</f>
        <v>PASS</v>
      </c>
    </row>
    <row r="3" spans="1:37" x14ac:dyDescent="0.25">
      <c r="A3" t="s">
        <v>28</v>
      </c>
      <c r="B3" s="9" t="s">
        <v>29</v>
      </c>
      <c r="C3" s="9">
        <v>25</v>
      </c>
      <c r="D3" s="9" t="s">
        <v>30</v>
      </c>
      <c r="E3" s="10" t="s">
        <v>31</v>
      </c>
      <c r="F3" s="10" t="s">
        <v>32</v>
      </c>
      <c r="G3">
        <v>2005</v>
      </c>
      <c r="H3" s="12">
        <v>38473</v>
      </c>
      <c r="I3" s="12">
        <v>38625</v>
      </c>
      <c r="J3">
        <v>773.2</v>
      </c>
      <c r="K3">
        <v>-15612.092500000001</v>
      </c>
      <c r="L3">
        <v>5.0535947712418299</v>
      </c>
      <c r="M3">
        <v>-102.039820261438</v>
      </c>
      <c r="N3">
        <v>56.634999999999998</v>
      </c>
      <c r="O3">
        <v>20.958907271241799</v>
      </c>
      <c r="P3">
        <v>29.53</v>
      </c>
      <c r="Q3">
        <v>8.33</v>
      </c>
      <c r="R3">
        <v>15</v>
      </c>
      <c r="S3">
        <v>63</v>
      </c>
      <c r="T3">
        <v>0.40806878306878303</v>
      </c>
      <c r="U3">
        <v>8.1336803525983506E-2</v>
      </c>
      <c r="V3">
        <v>153</v>
      </c>
      <c r="W3">
        <v>16.802832244008702</v>
      </c>
      <c r="Y3" s="29">
        <v>41.751730000000002</v>
      </c>
      <c r="Z3">
        <v>-69.955561399999993</v>
      </c>
      <c r="AC3" s="21">
        <f t="shared" si="0"/>
        <v>1</v>
      </c>
      <c r="AD3" s="21">
        <f t="shared" si="1"/>
        <v>31</v>
      </c>
      <c r="AE3" s="21">
        <f t="shared" si="2"/>
        <v>31</v>
      </c>
      <c r="AF3" s="21">
        <f t="shared" si="3"/>
        <v>31</v>
      </c>
      <c r="AG3" s="21">
        <f t="shared" si="4"/>
        <v>31</v>
      </c>
      <c r="AH3" s="21">
        <f t="shared" si="5"/>
        <v>30</v>
      </c>
      <c r="AI3" s="21">
        <f t="shared" si="6"/>
        <v>5</v>
      </c>
      <c r="AJ3" s="21" t="str">
        <f t="shared" si="7"/>
        <v>PASS</v>
      </c>
      <c r="AK3" s="21" t="str">
        <f t="shared" si="8"/>
        <v>PASS</v>
      </c>
    </row>
    <row r="4" spans="1:37" x14ac:dyDescent="0.25">
      <c r="A4" t="s">
        <v>28</v>
      </c>
      <c r="B4" s="9" t="s">
        <v>29</v>
      </c>
      <c r="C4" s="9">
        <v>25</v>
      </c>
      <c r="D4" s="9" t="s">
        <v>30</v>
      </c>
      <c r="E4" s="10" t="s">
        <v>31</v>
      </c>
      <c r="F4" s="10" t="s">
        <v>32</v>
      </c>
      <c r="G4">
        <v>2006</v>
      </c>
      <c r="H4" s="12">
        <v>38838</v>
      </c>
      <c r="I4" s="12">
        <v>38990</v>
      </c>
      <c r="J4">
        <v>801.755</v>
      </c>
      <c r="K4">
        <v>-16574.744999999999</v>
      </c>
      <c r="L4">
        <v>5.2402287581699296</v>
      </c>
      <c r="M4">
        <v>-108.331666666667</v>
      </c>
      <c r="N4">
        <v>105.515</v>
      </c>
      <c r="O4">
        <v>20.703696400277298</v>
      </c>
      <c r="P4">
        <v>31.774999999999999</v>
      </c>
      <c r="Q4">
        <v>9.52</v>
      </c>
      <c r="R4">
        <v>19</v>
      </c>
      <c r="S4">
        <v>59</v>
      </c>
      <c r="T4">
        <v>0.36935028248587598</v>
      </c>
      <c r="U4">
        <v>9.0121769123419807E-2</v>
      </c>
      <c r="V4">
        <v>153</v>
      </c>
      <c r="W4">
        <v>14.250681198910099</v>
      </c>
      <c r="Y4" s="29">
        <v>41.751730000000002</v>
      </c>
      <c r="Z4">
        <v>-69.955561399999993</v>
      </c>
      <c r="AC4" s="21">
        <f t="shared" si="0"/>
        <v>1</v>
      </c>
      <c r="AD4" s="21">
        <f t="shared" si="1"/>
        <v>31</v>
      </c>
      <c r="AE4" s="21">
        <f t="shared" si="2"/>
        <v>31</v>
      </c>
      <c r="AF4" s="21">
        <f t="shared" si="3"/>
        <v>31</v>
      </c>
      <c r="AG4" s="21">
        <f t="shared" si="4"/>
        <v>31</v>
      </c>
      <c r="AH4" s="21">
        <f t="shared" si="5"/>
        <v>30</v>
      </c>
      <c r="AI4" s="21">
        <f t="shared" si="6"/>
        <v>5</v>
      </c>
      <c r="AJ4" s="21" t="str">
        <f t="shared" si="7"/>
        <v>PASS</v>
      </c>
      <c r="AK4" s="21" t="str">
        <f t="shared" si="8"/>
        <v>PASS</v>
      </c>
    </row>
    <row r="5" spans="1:37" x14ac:dyDescent="0.25">
      <c r="A5" t="s">
        <v>28</v>
      </c>
      <c r="B5" s="9" t="s">
        <v>29</v>
      </c>
      <c r="C5" s="9">
        <v>25</v>
      </c>
      <c r="D5" s="9" t="s">
        <v>30</v>
      </c>
      <c r="E5" s="10" t="s">
        <v>31</v>
      </c>
      <c r="F5" s="10" t="s">
        <v>32</v>
      </c>
      <c r="G5">
        <v>2007</v>
      </c>
      <c r="H5" s="12">
        <v>39203</v>
      </c>
      <c r="I5" s="12">
        <v>39355</v>
      </c>
      <c r="J5">
        <v>122.456</v>
      </c>
      <c r="K5">
        <v>-18402.133999999998</v>
      </c>
      <c r="L5">
        <v>0.80036601307189603</v>
      </c>
      <c r="M5">
        <v>-120.275385620915</v>
      </c>
      <c r="N5">
        <v>18.363499999999998</v>
      </c>
      <c r="O5">
        <v>20.019217392349098</v>
      </c>
      <c r="P5">
        <v>28.890499999999999</v>
      </c>
      <c r="Q5">
        <v>9.25</v>
      </c>
      <c r="R5">
        <v>13</v>
      </c>
      <c r="S5">
        <v>39</v>
      </c>
      <c r="T5">
        <v>0.148504273504274</v>
      </c>
      <c r="U5">
        <v>1.5214120627100701E-2</v>
      </c>
      <c r="V5">
        <v>153</v>
      </c>
      <c r="W5">
        <v>3.7926330150068202</v>
      </c>
      <c r="Y5" s="29">
        <v>41.751730000000002</v>
      </c>
      <c r="Z5">
        <v>-69.955561399999993</v>
      </c>
      <c r="AC5" s="21">
        <f t="shared" si="0"/>
        <v>1</v>
      </c>
      <c r="AD5" s="21">
        <f t="shared" si="1"/>
        <v>31</v>
      </c>
      <c r="AE5" s="21">
        <f t="shared" si="2"/>
        <v>31</v>
      </c>
      <c r="AF5" s="21">
        <f t="shared" si="3"/>
        <v>31</v>
      </c>
      <c r="AG5" s="21">
        <f t="shared" si="4"/>
        <v>31</v>
      </c>
      <c r="AH5" s="21">
        <f t="shared" si="5"/>
        <v>30</v>
      </c>
      <c r="AI5" s="21">
        <f t="shared" si="6"/>
        <v>5</v>
      </c>
      <c r="AJ5" s="21" t="str">
        <f t="shared" si="7"/>
        <v>PASS</v>
      </c>
      <c r="AK5" s="21" t="str">
        <f t="shared" si="8"/>
        <v>PASS</v>
      </c>
    </row>
    <row r="6" spans="1:37" x14ac:dyDescent="0.25">
      <c r="A6" t="s">
        <v>28</v>
      </c>
      <c r="B6" s="9" t="s">
        <v>29</v>
      </c>
      <c r="C6" s="9">
        <v>25</v>
      </c>
      <c r="D6" s="9" t="s">
        <v>30</v>
      </c>
      <c r="E6" s="10" t="s">
        <v>31</v>
      </c>
      <c r="F6" s="10" t="s">
        <v>32</v>
      </c>
      <c r="G6">
        <v>2008</v>
      </c>
      <c r="H6" s="12">
        <v>39569</v>
      </c>
      <c r="I6" s="12">
        <v>39721</v>
      </c>
      <c r="J6">
        <v>79.117000000000004</v>
      </c>
      <c r="K6">
        <v>-21005.672999999999</v>
      </c>
      <c r="L6">
        <v>0.51710457516339903</v>
      </c>
      <c r="M6">
        <v>-137.291980392157</v>
      </c>
      <c r="N6">
        <v>12.952999999999999</v>
      </c>
      <c r="O6">
        <v>19.296638017429199</v>
      </c>
      <c r="P6">
        <v>27.443999999999999</v>
      </c>
      <c r="Q6">
        <v>8.3190000000000008</v>
      </c>
      <c r="R6">
        <v>8</v>
      </c>
      <c r="S6">
        <v>29</v>
      </c>
      <c r="T6">
        <v>0.15086206896551699</v>
      </c>
      <c r="U6">
        <v>1.7352202666953101E-2</v>
      </c>
      <c r="V6">
        <v>153</v>
      </c>
      <c r="W6">
        <v>2.86259541984733</v>
      </c>
      <c r="Y6" s="29">
        <v>41.751730000000002</v>
      </c>
      <c r="Z6">
        <v>-69.955561399999993</v>
      </c>
      <c r="AC6" s="21">
        <f t="shared" si="0"/>
        <v>1</v>
      </c>
      <c r="AD6" s="21">
        <f t="shared" si="1"/>
        <v>31</v>
      </c>
      <c r="AE6" s="21">
        <f t="shared" si="2"/>
        <v>31</v>
      </c>
      <c r="AF6" s="21">
        <f t="shared" si="3"/>
        <v>31</v>
      </c>
      <c r="AG6" s="21">
        <f t="shared" si="4"/>
        <v>31</v>
      </c>
      <c r="AH6" s="21">
        <f t="shared" si="5"/>
        <v>30</v>
      </c>
      <c r="AI6" s="21">
        <f t="shared" si="6"/>
        <v>5</v>
      </c>
      <c r="AJ6" s="21" t="str">
        <f t="shared" si="7"/>
        <v>PASS</v>
      </c>
      <c r="AK6" s="21" t="str">
        <f t="shared" si="8"/>
        <v>PASS</v>
      </c>
    </row>
    <row r="7" spans="1:37" x14ac:dyDescent="0.25">
      <c r="A7" t="s">
        <v>28</v>
      </c>
      <c r="B7" s="9" t="s">
        <v>29</v>
      </c>
      <c r="C7" s="9">
        <v>25</v>
      </c>
      <c r="D7" s="9" t="s">
        <v>30</v>
      </c>
      <c r="E7" s="10" t="s">
        <v>31</v>
      </c>
      <c r="F7" s="10" t="s">
        <v>32</v>
      </c>
      <c r="G7">
        <v>2009</v>
      </c>
      <c r="H7" s="12">
        <v>39934</v>
      </c>
      <c r="I7" s="12">
        <v>40086</v>
      </c>
      <c r="J7">
        <v>26.0015</v>
      </c>
      <c r="K7">
        <v>-23213.953000000001</v>
      </c>
      <c r="L7">
        <v>0.16994444444444401</v>
      </c>
      <c r="M7">
        <v>-151.72518300653601</v>
      </c>
      <c r="N7">
        <v>6.1464999999999996</v>
      </c>
      <c r="O7">
        <v>18.680753131808299</v>
      </c>
      <c r="P7">
        <v>27.124500000000001</v>
      </c>
      <c r="Q7">
        <v>10.3325</v>
      </c>
      <c r="R7">
        <v>3</v>
      </c>
      <c r="S7">
        <v>14</v>
      </c>
      <c r="T7">
        <v>0.12202380952381001</v>
      </c>
      <c r="U7">
        <v>1.4129371908616699E-2</v>
      </c>
      <c r="V7">
        <v>153</v>
      </c>
      <c r="W7">
        <v>1.11777535441658</v>
      </c>
      <c r="Y7" s="29">
        <v>41.751730000000002</v>
      </c>
      <c r="Z7">
        <v>-69.955561399999993</v>
      </c>
      <c r="AC7" s="21">
        <f t="shared" si="0"/>
        <v>1</v>
      </c>
      <c r="AD7" s="21">
        <f t="shared" si="1"/>
        <v>31</v>
      </c>
      <c r="AE7" s="21">
        <f t="shared" si="2"/>
        <v>31</v>
      </c>
      <c r="AF7" s="21">
        <f t="shared" si="3"/>
        <v>31</v>
      </c>
      <c r="AG7" s="21">
        <f t="shared" si="4"/>
        <v>31</v>
      </c>
      <c r="AH7" s="21">
        <f t="shared" si="5"/>
        <v>30</v>
      </c>
      <c r="AI7" s="21">
        <f t="shared" si="6"/>
        <v>5</v>
      </c>
      <c r="AJ7" s="21" t="str">
        <f t="shared" si="7"/>
        <v>PASS</v>
      </c>
      <c r="AK7" s="21" t="str">
        <f t="shared" si="8"/>
        <v>PASS</v>
      </c>
    </row>
    <row r="8" spans="1:37" x14ac:dyDescent="0.25">
      <c r="A8" t="s">
        <v>28</v>
      </c>
      <c r="B8" s="9" t="s">
        <v>29</v>
      </c>
      <c r="C8" s="9">
        <v>25</v>
      </c>
      <c r="D8" s="9" t="s">
        <v>30</v>
      </c>
      <c r="E8" s="10" t="s">
        <v>31</v>
      </c>
      <c r="F8" s="10" t="s">
        <v>32</v>
      </c>
      <c r="G8">
        <v>2010</v>
      </c>
      <c r="H8" s="12">
        <v>40299</v>
      </c>
      <c r="I8" s="12">
        <v>40451</v>
      </c>
      <c r="J8">
        <v>335.86849999999998</v>
      </c>
      <c r="K8">
        <v>-17972.738499999999</v>
      </c>
      <c r="L8">
        <v>2.1952189542483702</v>
      </c>
      <c r="M8">
        <v>-117.468879084967</v>
      </c>
      <c r="N8">
        <v>32.424500000000002</v>
      </c>
      <c r="O8">
        <v>20.1969308278867</v>
      </c>
      <c r="P8">
        <v>29.965</v>
      </c>
      <c r="Q8">
        <v>10.074999999999999</v>
      </c>
      <c r="R8">
        <v>13</v>
      </c>
      <c r="S8">
        <v>62</v>
      </c>
      <c r="T8">
        <v>0.19489247311828001</v>
      </c>
      <c r="U8">
        <v>1.7161004483097299E-2</v>
      </c>
      <c r="V8">
        <v>153</v>
      </c>
      <c r="W8">
        <v>7.89760348583878</v>
      </c>
      <c r="Y8" s="29">
        <v>41.751730000000002</v>
      </c>
      <c r="Z8">
        <v>-69.955561399999993</v>
      </c>
      <c r="AC8" s="21">
        <f t="shared" si="0"/>
        <v>1</v>
      </c>
      <c r="AD8" s="21">
        <f t="shared" si="1"/>
        <v>31</v>
      </c>
      <c r="AE8" s="21">
        <f t="shared" si="2"/>
        <v>31</v>
      </c>
      <c r="AF8" s="21">
        <f t="shared" si="3"/>
        <v>31</v>
      </c>
      <c r="AG8" s="21">
        <f t="shared" si="4"/>
        <v>31</v>
      </c>
      <c r="AH8" s="21">
        <f t="shared" si="5"/>
        <v>30</v>
      </c>
      <c r="AI8" s="21">
        <f t="shared" si="6"/>
        <v>5</v>
      </c>
      <c r="AJ8" s="21" t="str">
        <f t="shared" si="7"/>
        <v>PASS</v>
      </c>
      <c r="AK8" s="21" t="str">
        <f t="shared" si="8"/>
        <v>PASS</v>
      </c>
    </row>
    <row r="9" spans="1:37" x14ac:dyDescent="0.25">
      <c r="A9" t="s">
        <v>28</v>
      </c>
      <c r="B9" s="9" t="s">
        <v>29</v>
      </c>
      <c r="C9" s="9">
        <v>25</v>
      </c>
      <c r="D9" s="9" t="s">
        <v>30</v>
      </c>
      <c r="E9" s="10" t="s">
        <v>31</v>
      </c>
      <c r="F9" s="10" t="s">
        <v>32</v>
      </c>
      <c r="G9">
        <v>2011</v>
      </c>
      <c r="H9" s="12">
        <v>40664</v>
      </c>
      <c r="I9" s="12">
        <v>40816</v>
      </c>
      <c r="J9">
        <v>323.7525</v>
      </c>
      <c r="K9">
        <v>-18378.356500000002</v>
      </c>
      <c r="L9">
        <v>2.11602941176471</v>
      </c>
      <c r="M9">
        <v>-120.11997712418299</v>
      </c>
      <c r="N9">
        <v>39.17</v>
      </c>
      <c r="O9">
        <v>20.081771811249801</v>
      </c>
      <c r="P9">
        <v>31.375</v>
      </c>
      <c r="Q9">
        <v>8.99</v>
      </c>
      <c r="R9">
        <v>13</v>
      </c>
      <c r="S9">
        <v>69</v>
      </c>
      <c r="T9">
        <v>0.173913043478261</v>
      </c>
      <c r="U9">
        <v>1.10486572120741E-2</v>
      </c>
      <c r="V9">
        <v>153</v>
      </c>
      <c r="W9">
        <v>7.8474114441416898</v>
      </c>
      <c r="Y9" s="29">
        <v>41.751730000000002</v>
      </c>
      <c r="Z9">
        <v>-69.955561399999993</v>
      </c>
      <c r="AC9" s="21">
        <f t="shared" si="0"/>
        <v>1</v>
      </c>
      <c r="AD9" s="21">
        <f t="shared" si="1"/>
        <v>31</v>
      </c>
      <c r="AE9" s="21">
        <f t="shared" si="2"/>
        <v>31</v>
      </c>
      <c r="AF9" s="21">
        <f t="shared" si="3"/>
        <v>31</v>
      </c>
      <c r="AG9" s="21">
        <f t="shared" si="4"/>
        <v>31</v>
      </c>
      <c r="AH9" s="21">
        <f t="shared" si="5"/>
        <v>30</v>
      </c>
      <c r="AI9" s="21">
        <f t="shared" si="6"/>
        <v>5</v>
      </c>
      <c r="AJ9" s="21" t="str">
        <f t="shared" si="7"/>
        <v>PASS</v>
      </c>
      <c r="AK9" s="21" t="str">
        <f t="shared" si="8"/>
        <v>PASS</v>
      </c>
    </row>
    <row r="10" spans="1:37" x14ac:dyDescent="0.25">
      <c r="A10" t="s">
        <v>28</v>
      </c>
      <c r="B10" s="9" t="s">
        <v>29</v>
      </c>
      <c r="C10" s="9">
        <v>25</v>
      </c>
      <c r="D10" s="9" t="s">
        <v>30</v>
      </c>
      <c r="E10" s="10" t="s">
        <v>31</v>
      </c>
      <c r="F10" s="10" t="s">
        <v>32</v>
      </c>
      <c r="G10">
        <v>2012</v>
      </c>
      <c r="H10" s="12">
        <v>41030</v>
      </c>
      <c r="I10" s="12">
        <v>41182</v>
      </c>
      <c r="J10">
        <v>835.53200000000004</v>
      </c>
      <c r="K10">
        <v>-15754.827499999999</v>
      </c>
      <c r="L10">
        <v>5.4609934640522901</v>
      </c>
      <c r="M10">
        <v>-102.97272875817001</v>
      </c>
      <c r="N10">
        <v>53.07</v>
      </c>
      <c r="O10">
        <v>20.937011029411799</v>
      </c>
      <c r="P10">
        <v>29.9785</v>
      </c>
      <c r="Q10">
        <v>9.6325000000000003</v>
      </c>
      <c r="R10">
        <v>22</v>
      </c>
      <c r="S10">
        <v>98</v>
      </c>
      <c r="T10">
        <v>0.24404761904761901</v>
      </c>
      <c r="U10">
        <v>1.64629175739987E-2</v>
      </c>
      <c r="V10">
        <v>153</v>
      </c>
      <c r="W10">
        <v>15.6318082788671</v>
      </c>
      <c r="Y10" s="29">
        <v>41.751730000000002</v>
      </c>
      <c r="Z10">
        <v>-69.955561399999993</v>
      </c>
      <c r="AC10" s="21">
        <f t="shared" si="0"/>
        <v>1</v>
      </c>
      <c r="AD10" s="21">
        <f t="shared" si="1"/>
        <v>31</v>
      </c>
      <c r="AE10" s="21">
        <f t="shared" si="2"/>
        <v>31</v>
      </c>
      <c r="AF10" s="21">
        <f t="shared" si="3"/>
        <v>31</v>
      </c>
      <c r="AG10" s="21">
        <f t="shared" si="4"/>
        <v>31</v>
      </c>
      <c r="AH10" s="21">
        <f t="shared" si="5"/>
        <v>30</v>
      </c>
      <c r="AI10" s="21">
        <f t="shared" si="6"/>
        <v>5</v>
      </c>
      <c r="AJ10" s="21" t="str">
        <f t="shared" si="7"/>
        <v>PASS</v>
      </c>
      <c r="AK10" s="21" t="str">
        <f t="shared" si="8"/>
        <v>PASS</v>
      </c>
    </row>
    <row r="11" spans="1:37" x14ac:dyDescent="0.25">
      <c r="A11" t="s">
        <v>28</v>
      </c>
      <c r="B11" s="9" t="s">
        <v>29</v>
      </c>
      <c r="C11" s="9">
        <v>25</v>
      </c>
      <c r="D11" s="9" t="s">
        <v>30</v>
      </c>
      <c r="E11" s="10" t="s">
        <v>31</v>
      </c>
      <c r="F11" s="10" t="s">
        <v>32</v>
      </c>
      <c r="G11">
        <v>2013</v>
      </c>
      <c r="H11" s="12">
        <v>41395</v>
      </c>
      <c r="I11" s="12">
        <v>41547</v>
      </c>
      <c r="J11">
        <v>815.02300000000002</v>
      </c>
      <c r="K11">
        <v>-16588.816500000001</v>
      </c>
      <c r="L11">
        <v>5.3269477124183</v>
      </c>
      <c r="M11">
        <v>-108.423637254902</v>
      </c>
      <c r="N11">
        <v>68.113</v>
      </c>
      <c r="O11">
        <v>20.703755020365598</v>
      </c>
      <c r="P11">
        <v>31.970500000000001</v>
      </c>
      <c r="Q11">
        <v>9.5585000000000004</v>
      </c>
      <c r="R11">
        <v>12</v>
      </c>
      <c r="S11">
        <v>66</v>
      </c>
      <c r="T11">
        <v>0.29797979797979801</v>
      </c>
      <c r="U11">
        <v>3.6524615619726301E-2</v>
      </c>
      <c r="V11">
        <v>153</v>
      </c>
      <c r="W11">
        <v>12.8575320076274</v>
      </c>
      <c r="Y11" s="29">
        <v>41.751730000000002</v>
      </c>
      <c r="Z11">
        <v>-69.955561399999993</v>
      </c>
      <c r="AC11" s="21">
        <f t="shared" si="0"/>
        <v>1</v>
      </c>
      <c r="AD11" s="21">
        <f t="shared" si="1"/>
        <v>31</v>
      </c>
      <c r="AE11" s="21">
        <f t="shared" si="2"/>
        <v>31</v>
      </c>
      <c r="AF11" s="21">
        <f t="shared" si="3"/>
        <v>31</v>
      </c>
      <c r="AG11" s="21">
        <f t="shared" si="4"/>
        <v>31</v>
      </c>
      <c r="AH11" s="21">
        <f t="shared" si="5"/>
        <v>30</v>
      </c>
      <c r="AI11" s="21">
        <f t="shared" si="6"/>
        <v>5</v>
      </c>
      <c r="AJ11" s="21" t="str">
        <f t="shared" si="7"/>
        <v>PASS</v>
      </c>
      <c r="AK11" s="21" t="str">
        <f t="shared" si="8"/>
        <v>PASS</v>
      </c>
    </row>
    <row r="12" spans="1:37" x14ac:dyDescent="0.25">
      <c r="A12" t="s">
        <v>28</v>
      </c>
      <c r="B12" s="9" t="s">
        <v>29</v>
      </c>
      <c r="C12" s="9">
        <v>25</v>
      </c>
      <c r="D12" s="9" t="s">
        <v>30</v>
      </c>
      <c r="E12" s="10" t="s">
        <v>31</v>
      </c>
      <c r="F12" s="10" t="s">
        <v>32</v>
      </c>
      <c r="G12">
        <v>2014</v>
      </c>
      <c r="H12" s="12">
        <v>41760</v>
      </c>
      <c r="I12" s="12">
        <v>41912</v>
      </c>
      <c r="J12">
        <v>134.32499999999999</v>
      </c>
      <c r="K12">
        <v>-17791.878000000001</v>
      </c>
      <c r="L12">
        <v>0.877941176470588</v>
      </c>
      <c r="M12">
        <v>-116.28678431372499</v>
      </c>
      <c r="N12">
        <v>15.546749999999999</v>
      </c>
      <c r="O12">
        <v>20.189053067439101</v>
      </c>
      <c r="P12">
        <v>28.097249999999999</v>
      </c>
      <c r="Q12">
        <v>7.1035000000000004</v>
      </c>
      <c r="R12">
        <v>8</v>
      </c>
      <c r="S12">
        <v>50</v>
      </c>
      <c r="T12">
        <v>0.149166666666667</v>
      </c>
      <c r="U12">
        <v>1.0177701160234E-2</v>
      </c>
      <c r="V12">
        <v>153</v>
      </c>
      <c r="W12">
        <v>4.8773841961852904</v>
      </c>
      <c r="Y12" s="29">
        <v>41.751730000000002</v>
      </c>
      <c r="Z12">
        <v>-69.955561399999993</v>
      </c>
      <c r="AC12" s="21">
        <f t="shared" si="0"/>
        <v>1</v>
      </c>
      <c r="AD12" s="21">
        <f t="shared" si="1"/>
        <v>31</v>
      </c>
      <c r="AE12" s="21">
        <f t="shared" si="2"/>
        <v>31</v>
      </c>
      <c r="AF12" s="21">
        <f t="shared" si="3"/>
        <v>31</v>
      </c>
      <c r="AG12" s="21">
        <f t="shared" si="4"/>
        <v>31</v>
      </c>
      <c r="AH12" s="21">
        <f t="shared" si="5"/>
        <v>30</v>
      </c>
      <c r="AI12" s="21">
        <f t="shared" si="6"/>
        <v>5</v>
      </c>
      <c r="AJ12" s="21" t="str">
        <f t="shared" si="7"/>
        <v>PASS</v>
      </c>
      <c r="AK12" s="21" t="str">
        <f t="shared" si="8"/>
        <v>PASS</v>
      </c>
    </row>
    <row r="13" spans="1:37" x14ac:dyDescent="0.25">
      <c r="A13" t="s">
        <v>28</v>
      </c>
      <c r="B13" s="9" t="s">
        <v>29</v>
      </c>
      <c r="C13" s="9">
        <v>25</v>
      </c>
      <c r="D13" s="9" t="s">
        <v>30</v>
      </c>
      <c r="E13" s="10" t="s">
        <v>31</v>
      </c>
      <c r="F13" s="10" t="s">
        <v>32</v>
      </c>
      <c r="G13">
        <v>2015</v>
      </c>
      <c r="H13" s="12">
        <v>42125</v>
      </c>
      <c r="I13" s="12">
        <v>42277</v>
      </c>
      <c r="J13">
        <v>599.33249999999998</v>
      </c>
      <c r="K13">
        <v>-14719.5731666667</v>
      </c>
      <c r="L13">
        <v>3.9172058823529401</v>
      </c>
      <c r="M13">
        <v>-96.206360566448794</v>
      </c>
      <c r="N13">
        <v>42.408499999999997</v>
      </c>
      <c r="O13">
        <v>21.154618554829302</v>
      </c>
      <c r="P13">
        <v>29.258749999999999</v>
      </c>
      <c r="Q13">
        <v>9.6754999999999995</v>
      </c>
      <c r="R13">
        <v>14</v>
      </c>
      <c r="S13">
        <v>75</v>
      </c>
      <c r="T13">
        <v>0.28166666666666701</v>
      </c>
      <c r="U13">
        <v>2.6338540557872998E-2</v>
      </c>
      <c r="V13">
        <v>153</v>
      </c>
      <c r="W13">
        <v>13.8071895424837</v>
      </c>
      <c r="Y13" s="29">
        <v>41.751730000000002</v>
      </c>
      <c r="Z13">
        <v>-69.955561399999993</v>
      </c>
      <c r="AC13" s="21">
        <f t="shared" si="0"/>
        <v>1</v>
      </c>
      <c r="AD13" s="21">
        <f t="shared" si="1"/>
        <v>31</v>
      </c>
      <c r="AE13" s="21">
        <f t="shared" si="2"/>
        <v>31</v>
      </c>
      <c r="AF13" s="21">
        <f t="shared" si="3"/>
        <v>31</v>
      </c>
      <c r="AG13" s="21">
        <f t="shared" si="4"/>
        <v>31</v>
      </c>
      <c r="AH13" s="21">
        <f t="shared" si="5"/>
        <v>30</v>
      </c>
      <c r="AI13" s="21">
        <f t="shared" si="6"/>
        <v>5</v>
      </c>
      <c r="AJ13" s="21" t="str">
        <f t="shared" si="7"/>
        <v>PASS</v>
      </c>
      <c r="AK13" s="21" t="str">
        <f t="shared" si="8"/>
        <v>PASS</v>
      </c>
    </row>
    <row r="14" spans="1:37" x14ac:dyDescent="0.25">
      <c r="A14" t="s">
        <v>28</v>
      </c>
      <c r="B14" s="9" t="s">
        <v>29</v>
      </c>
      <c r="C14" s="9">
        <v>25</v>
      </c>
      <c r="D14" s="9" t="s">
        <v>30</v>
      </c>
      <c r="E14" s="10" t="s">
        <v>31</v>
      </c>
      <c r="F14" s="10" t="s">
        <v>32</v>
      </c>
      <c r="G14">
        <v>2016</v>
      </c>
      <c r="H14" s="12">
        <v>42491</v>
      </c>
      <c r="I14" s="12">
        <v>42643</v>
      </c>
      <c r="J14">
        <v>972.88300000000004</v>
      </c>
      <c r="K14">
        <v>-14669.707</v>
      </c>
      <c r="L14">
        <v>6.3587124183006498</v>
      </c>
      <c r="M14">
        <v>-95.880437908496702</v>
      </c>
      <c r="N14">
        <v>54.323999999999998</v>
      </c>
      <c r="O14">
        <v>21.2699281045752</v>
      </c>
      <c r="P14">
        <v>30.450500000000002</v>
      </c>
      <c r="Q14">
        <v>8.1887500000000006</v>
      </c>
      <c r="R14">
        <v>28</v>
      </c>
      <c r="S14">
        <v>73</v>
      </c>
      <c r="T14">
        <v>0.39840182648401801</v>
      </c>
      <c r="U14">
        <v>7.6341250112578293E-2</v>
      </c>
      <c r="V14">
        <v>153</v>
      </c>
      <c r="W14">
        <v>19.008714596949901</v>
      </c>
      <c r="Y14" s="29">
        <v>41.751730000000002</v>
      </c>
      <c r="Z14">
        <v>-69.955561399999993</v>
      </c>
      <c r="AC14" s="21">
        <f t="shared" si="0"/>
        <v>1</v>
      </c>
      <c r="AD14" s="21">
        <f t="shared" si="1"/>
        <v>31</v>
      </c>
      <c r="AE14" s="21">
        <f t="shared" si="2"/>
        <v>31</v>
      </c>
      <c r="AF14" s="21">
        <f t="shared" si="3"/>
        <v>31</v>
      </c>
      <c r="AG14" s="21">
        <f t="shared" si="4"/>
        <v>31</v>
      </c>
      <c r="AH14" s="21">
        <f t="shared" si="5"/>
        <v>30</v>
      </c>
      <c r="AI14" s="21">
        <f t="shared" si="6"/>
        <v>5</v>
      </c>
      <c r="AJ14" s="21" t="str">
        <f t="shared" si="7"/>
        <v>PASS</v>
      </c>
      <c r="AK14" s="21" t="str">
        <f t="shared" si="8"/>
        <v>PASS</v>
      </c>
    </row>
    <row r="15" spans="1:37" x14ac:dyDescent="0.25">
      <c r="A15" t="s">
        <v>28</v>
      </c>
      <c r="B15" s="9" t="s">
        <v>29</v>
      </c>
      <c r="C15" s="9">
        <v>25</v>
      </c>
      <c r="D15" s="9" t="s">
        <v>30</v>
      </c>
      <c r="E15" s="10" t="s">
        <v>31</v>
      </c>
      <c r="F15" s="10" t="s">
        <v>32</v>
      </c>
      <c r="G15">
        <v>2017</v>
      </c>
      <c r="H15" s="12">
        <v>42856</v>
      </c>
      <c r="I15" s="12">
        <v>43008</v>
      </c>
      <c r="J15">
        <v>218.85724999999999</v>
      </c>
      <c r="K15">
        <v>-17865.913499999999</v>
      </c>
      <c r="L15">
        <v>1.43043954248366</v>
      </c>
      <c r="M15">
        <v>-116.770676470588</v>
      </c>
      <c r="N15">
        <v>27.172750000000001</v>
      </c>
      <c r="O15">
        <v>20.194156794662302</v>
      </c>
      <c r="P15">
        <v>28.319749999999999</v>
      </c>
      <c r="Q15">
        <v>11.42475</v>
      </c>
      <c r="R15">
        <v>7</v>
      </c>
      <c r="S15">
        <v>48</v>
      </c>
      <c r="T15">
        <v>0.20659722222222199</v>
      </c>
      <c r="U15">
        <v>1.62684367083244E-2</v>
      </c>
      <c r="V15">
        <v>153</v>
      </c>
      <c r="W15">
        <v>6.4814814814814801</v>
      </c>
      <c r="Y15" s="29">
        <v>41.751730000000002</v>
      </c>
      <c r="Z15">
        <v>-69.955561399999993</v>
      </c>
      <c r="AC15" s="21">
        <f t="shared" si="0"/>
        <v>1</v>
      </c>
      <c r="AD15" s="21">
        <f t="shared" si="1"/>
        <v>31</v>
      </c>
      <c r="AE15" s="21">
        <f t="shared" si="2"/>
        <v>31</v>
      </c>
      <c r="AF15" s="21">
        <f t="shared" si="3"/>
        <v>31</v>
      </c>
      <c r="AG15" s="21">
        <f t="shared" si="4"/>
        <v>31</v>
      </c>
      <c r="AH15" s="21">
        <f t="shared" si="5"/>
        <v>30</v>
      </c>
      <c r="AI15" s="21">
        <f t="shared" si="6"/>
        <v>5</v>
      </c>
      <c r="AJ15" s="21" t="str">
        <f t="shared" si="7"/>
        <v>PASS</v>
      </c>
      <c r="AK15" s="21" t="str">
        <f t="shared" si="8"/>
        <v>PASS</v>
      </c>
    </row>
    <row r="16" spans="1:37" x14ac:dyDescent="0.25">
      <c r="A16" t="s">
        <v>28</v>
      </c>
      <c r="B16" s="9" t="s">
        <v>29</v>
      </c>
      <c r="C16" s="9">
        <v>25</v>
      </c>
      <c r="D16" s="9" t="s">
        <v>30</v>
      </c>
      <c r="E16" s="10" t="s">
        <v>31</v>
      </c>
      <c r="F16" s="10" t="s">
        <v>32</v>
      </c>
      <c r="G16">
        <v>2018</v>
      </c>
      <c r="H16" s="12">
        <v>43221</v>
      </c>
      <c r="I16" s="12">
        <v>43373</v>
      </c>
      <c r="J16">
        <v>1065.7255</v>
      </c>
      <c r="K16">
        <v>-15016.264999999999</v>
      </c>
      <c r="L16">
        <v>6.96552614379085</v>
      </c>
      <c r="M16">
        <v>-98.145522875816994</v>
      </c>
      <c r="N16">
        <v>69.575000000000003</v>
      </c>
      <c r="O16">
        <v>21.2008334694989</v>
      </c>
      <c r="P16">
        <v>31.338000000000001</v>
      </c>
      <c r="Q16">
        <v>10.03825</v>
      </c>
      <c r="R16">
        <v>15</v>
      </c>
      <c r="S16">
        <v>79</v>
      </c>
      <c r="T16">
        <v>0.35548523206751098</v>
      </c>
      <c r="U16">
        <v>3.9684510725929802E-2</v>
      </c>
      <c r="V16">
        <v>153</v>
      </c>
      <c r="W16">
        <v>18.355119825708101</v>
      </c>
      <c r="Y16" s="29">
        <v>41.751730000000002</v>
      </c>
      <c r="Z16">
        <v>-69.955561399999993</v>
      </c>
      <c r="AC16" s="21">
        <f t="shared" si="0"/>
        <v>1</v>
      </c>
      <c r="AD16" s="21">
        <f t="shared" si="1"/>
        <v>31</v>
      </c>
      <c r="AE16" s="21">
        <f t="shared" si="2"/>
        <v>31</v>
      </c>
      <c r="AF16" s="21">
        <f t="shared" si="3"/>
        <v>31</v>
      </c>
      <c r="AG16" s="21">
        <f t="shared" si="4"/>
        <v>31</v>
      </c>
      <c r="AH16" s="21">
        <f t="shared" si="5"/>
        <v>30</v>
      </c>
      <c r="AI16" s="21">
        <f t="shared" si="6"/>
        <v>5</v>
      </c>
      <c r="AJ16" s="21" t="str">
        <f t="shared" si="7"/>
        <v>PASS</v>
      </c>
      <c r="AK16" s="21" t="str">
        <f t="shared" si="8"/>
        <v>PASS</v>
      </c>
    </row>
    <row r="17" spans="1:37" x14ac:dyDescent="0.25">
      <c r="A17" t="s">
        <v>28</v>
      </c>
      <c r="B17" s="9" t="s">
        <v>29</v>
      </c>
      <c r="C17" s="9">
        <v>25</v>
      </c>
      <c r="D17" s="9" t="s">
        <v>30</v>
      </c>
      <c r="E17" s="10" t="s">
        <v>31</v>
      </c>
      <c r="F17" s="10" t="s">
        <v>32</v>
      </c>
      <c r="G17">
        <v>2019</v>
      </c>
      <c r="H17" s="12">
        <v>43586</v>
      </c>
      <c r="I17" s="12">
        <v>43738</v>
      </c>
      <c r="J17">
        <v>885.05100000000004</v>
      </c>
      <c r="K17">
        <v>-17328.964</v>
      </c>
      <c r="L17">
        <v>5.7846470588235297</v>
      </c>
      <c r="M17">
        <v>-113.261202614379</v>
      </c>
      <c r="N17">
        <v>70.920249999999996</v>
      </c>
      <c r="O17">
        <v>20.521810185185199</v>
      </c>
      <c r="P17">
        <v>30.431750000000001</v>
      </c>
      <c r="Q17">
        <v>9.4782499999999992</v>
      </c>
      <c r="R17">
        <v>41</v>
      </c>
      <c r="S17">
        <v>67</v>
      </c>
      <c r="T17">
        <v>0.37126865671641801</v>
      </c>
      <c r="U17">
        <v>3.25188269495763E-2</v>
      </c>
      <c r="V17">
        <v>153</v>
      </c>
      <c r="W17">
        <v>16.258169934640499</v>
      </c>
      <c r="Y17" s="29">
        <v>41.751730000000002</v>
      </c>
      <c r="Z17">
        <v>-69.955561399999993</v>
      </c>
      <c r="AC17" s="21">
        <f t="shared" si="0"/>
        <v>1</v>
      </c>
      <c r="AD17" s="21">
        <f t="shared" si="1"/>
        <v>31</v>
      </c>
      <c r="AE17" s="21">
        <f t="shared" si="2"/>
        <v>31</v>
      </c>
      <c r="AF17" s="21">
        <f t="shared" si="3"/>
        <v>31</v>
      </c>
      <c r="AG17" s="21">
        <f t="shared" si="4"/>
        <v>31</v>
      </c>
      <c r="AH17" s="21">
        <f t="shared" si="5"/>
        <v>30</v>
      </c>
      <c r="AI17" s="21">
        <f t="shared" si="6"/>
        <v>5</v>
      </c>
      <c r="AJ17" s="21" t="str">
        <f t="shared" si="7"/>
        <v>PASS</v>
      </c>
      <c r="AK17" s="21" t="str">
        <f t="shared" si="8"/>
        <v>PASS</v>
      </c>
    </row>
    <row r="18" spans="1:37" x14ac:dyDescent="0.25">
      <c r="A18" t="s">
        <v>28</v>
      </c>
      <c r="B18" s="9" t="s">
        <v>29</v>
      </c>
      <c r="C18" s="9">
        <v>25</v>
      </c>
      <c r="D18" s="9" t="s">
        <v>30</v>
      </c>
      <c r="E18" s="10" t="s">
        <v>31</v>
      </c>
      <c r="F18" s="10" t="s">
        <v>32</v>
      </c>
      <c r="G18">
        <v>2020</v>
      </c>
      <c r="H18" s="12">
        <v>43952</v>
      </c>
      <c r="I18" s="12">
        <v>44104</v>
      </c>
      <c r="J18">
        <v>1020.93925</v>
      </c>
      <c r="K18">
        <v>-16087.76575</v>
      </c>
      <c r="L18">
        <v>6.6728055555555601</v>
      </c>
      <c r="M18">
        <v>-105.148795751634</v>
      </c>
      <c r="N18">
        <v>57.295499999999997</v>
      </c>
      <c r="O18">
        <v>20.8968337418301</v>
      </c>
      <c r="P18">
        <v>30.40625</v>
      </c>
      <c r="Q18">
        <v>6.8512500000000003</v>
      </c>
      <c r="R18">
        <v>29</v>
      </c>
      <c r="S18">
        <v>85</v>
      </c>
      <c r="T18">
        <v>0.32549019607843099</v>
      </c>
      <c r="U18">
        <v>3.37515641938987E-2</v>
      </c>
      <c r="V18">
        <v>153</v>
      </c>
      <c r="W18">
        <v>18.082788671024002</v>
      </c>
      <c r="Y18" s="29">
        <v>41.751730000000002</v>
      </c>
      <c r="Z18">
        <v>-69.955561399999993</v>
      </c>
      <c r="AC18" s="21">
        <f t="shared" si="0"/>
        <v>1</v>
      </c>
      <c r="AD18" s="21">
        <f t="shared" si="1"/>
        <v>31</v>
      </c>
      <c r="AE18" s="21">
        <f t="shared" si="2"/>
        <v>31</v>
      </c>
      <c r="AF18" s="21">
        <f t="shared" si="3"/>
        <v>31</v>
      </c>
      <c r="AG18" s="21">
        <f t="shared" si="4"/>
        <v>31</v>
      </c>
      <c r="AH18" s="21">
        <f t="shared" si="5"/>
        <v>30</v>
      </c>
      <c r="AI18" s="21">
        <f t="shared" si="6"/>
        <v>5</v>
      </c>
      <c r="AJ18" s="21" t="str">
        <f t="shared" si="7"/>
        <v>PASS</v>
      </c>
      <c r="AK18" s="21" t="str">
        <f t="shared" si="8"/>
        <v>PASS</v>
      </c>
    </row>
    <row r="19" spans="1:37" x14ac:dyDescent="0.25">
      <c r="A19" t="s">
        <v>28</v>
      </c>
      <c r="B19" s="9" t="s">
        <v>29</v>
      </c>
      <c r="C19" s="9">
        <v>25</v>
      </c>
      <c r="D19" s="9" t="s">
        <v>30</v>
      </c>
      <c r="E19" s="10" t="s">
        <v>31</v>
      </c>
      <c r="F19" s="10" t="s">
        <v>32</v>
      </c>
      <c r="G19">
        <v>2021</v>
      </c>
      <c r="H19" s="12">
        <v>44317</v>
      </c>
      <c r="I19" s="12">
        <v>44469</v>
      </c>
      <c r="J19">
        <v>614.30074999999999</v>
      </c>
      <c r="K19">
        <v>-13201.456249999999</v>
      </c>
      <c r="L19">
        <v>4.0150375816993504</v>
      </c>
      <c r="M19">
        <v>-86.284027777777794</v>
      </c>
      <c r="N19">
        <v>52.542000000000002</v>
      </c>
      <c r="O19">
        <v>21.572125408496699</v>
      </c>
      <c r="P19">
        <v>30.444500000000001</v>
      </c>
      <c r="Q19">
        <v>10.8765</v>
      </c>
      <c r="R19">
        <v>13</v>
      </c>
      <c r="S19">
        <v>64</v>
      </c>
      <c r="T19">
        <v>0.3359375</v>
      </c>
      <c r="U19">
        <v>3.1495330547325201E-2</v>
      </c>
      <c r="V19">
        <v>153</v>
      </c>
      <c r="W19">
        <v>14.0522875816993</v>
      </c>
      <c r="Y19" s="29">
        <v>41.751730000000002</v>
      </c>
      <c r="Z19">
        <v>-69.955561399999993</v>
      </c>
      <c r="AC19" s="21">
        <f t="shared" si="0"/>
        <v>1</v>
      </c>
      <c r="AD19" s="21">
        <f t="shared" si="1"/>
        <v>31</v>
      </c>
      <c r="AE19" s="21">
        <f t="shared" si="2"/>
        <v>31</v>
      </c>
      <c r="AF19" s="21">
        <f t="shared" si="3"/>
        <v>31</v>
      </c>
      <c r="AG19" s="21">
        <f t="shared" si="4"/>
        <v>31</v>
      </c>
      <c r="AH19" s="21">
        <f t="shared" si="5"/>
        <v>30</v>
      </c>
      <c r="AI19" s="21">
        <f t="shared" si="6"/>
        <v>5</v>
      </c>
      <c r="AJ19" s="21" t="str">
        <f t="shared" si="7"/>
        <v>PASS</v>
      </c>
      <c r="AK19" s="21" t="str">
        <f t="shared" si="8"/>
        <v>PASS</v>
      </c>
    </row>
    <row r="20" spans="1:37" x14ac:dyDescent="0.25">
      <c r="A20" t="s">
        <v>28</v>
      </c>
      <c r="B20" s="9" t="s">
        <v>29</v>
      </c>
      <c r="C20" s="9">
        <v>25</v>
      </c>
      <c r="D20" s="9" t="s">
        <v>30</v>
      </c>
      <c r="E20" s="10" t="s">
        <v>31</v>
      </c>
      <c r="F20" s="10" t="s">
        <v>32</v>
      </c>
      <c r="G20">
        <v>2022</v>
      </c>
      <c r="H20" s="12">
        <v>44682</v>
      </c>
      <c r="I20" s="12">
        <v>44834</v>
      </c>
      <c r="J20">
        <v>1369.41725</v>
      </c>
      <c r="K20">
        <v>-13859.361500000001</v>
      </c>
      <c r="L20">
        <v>8.9504395424836591</v>
      </c>
      <c r="M20">
        <v>-90.584062091503299</v>
      </c>
      <c r="N20">
        <v>65.528999999999996</v>
      </c>
      <c r="O20">
        <v>21.598599060457499</v>
      </c>
      <c r="P20">
        <v>30.602250000000002</v>
      </c>
      <c r="Q20">
        <v>9.1140000000000008</v>
      </c>
      <c r="R20">
        <v>29</v>
      </c>
      <c r="S20">
        <v>73</v>
      </c>
      <c r="T20">
        <v>0.48458904109589002</v>
      </c>
      <c r="U20">
        <v>9.5142835805773499E-2</v>
      </c>
      <c r="V20">
        <v>153</v>
      </c>
      <c r="W20">
        <v>23.120915032679701</v>
      </c>
      <c r="Y20" s="29">
        <v>41.751730000000002</v>
      </c>
      <c r="Z20">
        <v>-69.955561399999993</v>
      </c>
      <c r="AC20" s="21">
        <f t="shared" si="0"/>
        <v>1</v>
      </c>
      <c r="AD20" s="21">
        <f t="shared" si="1"/>
        <v>31</v>
      </c>
      <c r="AE20" s="21">
        <f t="shared" si="2"/>
        <v>31</v>
      </c>
      <c r="AF20" s="21">
        <f t="shared" si="3"/>
        <v>31</v>
      </c>
      <c r="AG20" s="21">
        <f t="shared" si="4"/>
        <v>31</v>
      </c>
      <c r="AH20" s="21">
        <f t="shared" si="5"/>
        <v>30</v>
      </c>
      <c r="AI20" s="21">
        <f t="shared" si="6"/>
        <v>5</v>
      </c>
      <c r="AJ20" s="21" t="str">
        <f t="shared" si="7"/>
        <v>PASS</v>
      </c>
      <c r="AK20" s="21" t="str">
        <f t="shared" si="8"/>
        <v>PASS</v>
      </c>
    </row>
    <row r="21" spans="1:37" x14ac:dyDescent="0.25">
      <c r="A21" t="s">
        <v>28</v>
      </c>
      <c r="B21" s="9" t="s">
        <v>29</v>
      </c>
      <c r="C21" s="9">
        <v>25</v>
      </c>
      <c r="D21" s="9" t="s">
        <v>30</v>
      </c>
      <c r="E21" s="10" t="s">
        <v>31</v>
      </c>
      <c r="F21" s="10" t="s">
        <v>32</v>
      </c>
      <c r="G21">
        <v>2023</v>
      </c>
      <c r="H21" s="12">
        <v>45047</v>
      </c>
      <c r="I21" s="12">
        <v>45199</v>
      </c>
      <c r="J21">
        <v>933.43299999999999</v>
      </c>
      <c r="K21">
        <v>-13961.82425</v>
      </c>
      <c r="L21">
        <v>6.1008692810457497</v>
      </c>
      <c r="M21">
        <v>-91.253753267973806</v>
      </c>
      <c r="N21">
        <v>60.997750000000003</v>
      </c>
      <c r="O21">
        <v>21.4519631672113</v>
      </c>
      <c r="P21">
        <v>30.154499999999999</v>
      </c>
      <c r="Q21">
        <v>11.400499999999999</v>
      </c>
      <c r="R21">
        <v>18</v>
      </c>
      <c r="S21">
        <v>73</v>
      </c>
      <c r="T21">
        <v>0.39554794520547898</v>
      </c>
      <c r="U21">
        <v>6.9933227004142201E-2</v>
      </c>
      <c r="V21">
        <v>153</v>
      </c>
      <c r="W21">
        <v>18.872549019607799</v>
      </c>
      <c r="Y21" s="29">
        <v>41.751730000000002</v>
      </c>
      <c r="Z21">
        <v>-69.955561399999993</v>
      </c>
      <c r="AC21" s="21">
        <f t="shared" si="0"/>
        <v>1</v>
      </c>
      <c r="AD21" s="21">
        <f t="shared" si="1"/>
        <v>31</v>
      </c>
      <c r="AE21" s="21">
        <f t="shared" si="2"/>
        <v>31</v>
      </c>
      <c r="AF21" s="21">
        <f t="shared" si="3"/>
        <v>31</v>
      </c>
      <c r="AG21" s="21">
        <f t="shared" si="4"/>
        <v>31</v>
      </c>
      <c r="AH21" s="21">
        <f t="shared" si="5"/>
        <v>30</v>
      </c>
      <c r="AI21" s="21">
        <f t="shared" si="6"/>
        <v>5</v>
      </c>
      <c r="AJ21" s="21" t="str">
        <f t="shared" si="7"/>
        <v>PASS</v>
      </c>
      <c r="AK21" s="21" t="str">
        <f t="shared" si="8"/>
        <v>PASS</v>
      </c>
    </row>
    <row r="22" spans="1:37" x14ac:dyDescent="0.25">
      <c r="A22" t="s">
        <v>28</v>
      </c>
      <c r="B22" s="9" t="s">
        <v>29</v>
      </c>
      <c r="C22" s="9">
        <v>25</v>
      </c>
      <c r="D22" s="9" t="s">
        <v>30</v>
      </c>
      <c r="E22" s="10" t="s">
        <v>31</v>
      </c>
      <c r="F22" s="10" t="s">
        <v>32</v>
      </c>
      <c r="G22">
        <v>2024</v>
      </c>
      <c r="H22" s="12">
        <v>45413</v>
      </c>
      <c r="I22" s="12">
        <v>45565</v>
      </c>
      <c r="J22">
        <v>862.40899999999999</v>
      </c>
      <c r="K22">
        <v>-14074.324500000001</v>
      </c>
      <c r="L22">
        <v>5.6366601307189503</v>
      </c>
      <c r="M22">
        <v>-91.989049019607805</v>
      </c>
      <c r="N22">
        <v>57.884</v>
      </c>
      <c r="O22">
        <v>21.4019837962963</v>
      </c>
      <c r="P22">
        <v>30.11675</v>
      </c>
      <c r="Q22">
        <v>11.351749999999999</v>
      </c>
      <c r="R22">
        <v>17</v>
      </c>
      <c r="S22">
        <v>64</v>
      </c>
      <c r="T22">
        <v>0.388671875</v>
      </c>
      <c r="U22">
        <v>6.9252305421749399E-2</v>
      </c>
      <c r="V22">
        <v>153</v>
      </c>
      <c r="W22">
        <v>16.258169934640499</v>
      </c>
      <c r="Y22" s="29">
        <v>41.751730000000002</v>
      </c>
      <c r="Z22">
        <v>-69.955561399999993</v>
      </c>
      <c r="AC22" s="21">
        <f t="shared" si="0"/>
        <v>1</v>
      </c>
      <c r="AD22" s="21">
        <f t="shared" si="1"/>
        <v>31</v>
      </c>
      <c r="AE22" s="21">
        <f t="shared" si="2"/>
        <v>31</v>
      </c>
      <c r="AF22" s="21">
        <f t="shared" si="3"/>
        <v>31</v>
      </c>
      <c r="AG22" s="21">
        <f t="shared" si="4"/>
        <v>31</v>
      </c>
      <c r="AH22" s="21">
        <f t="shared" si="5"/>
        <v>30</v>
      </c>
      <c r="AI22" s="21">
        <f t="shared" si="6"/>
        <v>5</v>
      </c>
      <c r="AJ22" s="21" t="str">
        <f t="shared" si="7"/>
        <v>PASS</v>
      </c>
      <c r="AK22" s="21" t="str">
        <f t="shared" si="8"/>
        <v>PASS</v>
      </c>
    </row>
    <row r="23" spans="1:37" x14ac:dyDescent="0.25">
      <c r="A23" t="s">
        <v>28</v>
      </c>
      <c r="B23" s="9" t="s">
        <v>29</v>
      </c>
      <c r="C23" s="9">
        <v>25</v>
      </c>
      <c r="D23" s="9" t="s">
        <v>30</v>
      </c>
      <c r="E23" s="10" t="s">
        <v>31</v>
      </c>
      <c r="F23" s="10" t="s">
        <v>35</v>
      </c>
      <c r="G23">
        <v>2021</v>
      </c>
      <c r="H23" s="12">
        <v>44317</v>
      </c>
      <c r="I23" s="12">
        <v>44469</v>
      </c>
      <c r="J23">
        <v>770.82849999999996</v>
      </c>
      <c r="K23">
        <v>-13124.321749999999</v>
      </c>
      <c r="L23">
        <v>5.0380947712418296</v>
      </c>
      <c r="M23">
        <v>-85.779880718954203</v>
      </c>
      <c r="N23">
        <v>54.470999999999997</v>
      </c>
      <c r="O23">
        <v>21.622835716230899</v>
      </c>
      <c r="P23">
        <v>30.608750000000001</v>
      </c>
      <c r="Q23">
        <v>10.785</v>
      </c>
      <c r="R23">
        <v>23</v>
      </c>
      <c r="S23">
        <v>81</v>
      </c>
      <c r="T23">
        <v>0.30041152263374499</v>
      </c>
      <c r="U23">
        <v>2.42085370727315E-2</v>
      </c>
      <c r="V23">
        <v>153</v>
      </c>
      <c r="W23">
        <v>15.904139433551199</v>
      </c>
      <c r="Y23" s="29">
        <v>41.751730000000002</v>
      </c>
      <c r="Z23">
        <v>-69.955561399999993</v>
      </c>
      <c r="AC23" s="21">
        <f t="shared" si="0"/>
        <v>1</v>
      </c>
      <c r="AD23" s="21">
        <f t="shared" si="1"/>
        <v>31</v>
      </c>
      <c r="AE23" s="21">
        <f t="shared" si="2"/>
        <v>31</v>
      </c>
      <c r="AF23" s="21">
        <f t="shared" si="3"/>
        <v>31</v>
      </c>
      <c r="AG23" s="21">
        <f t="shared" si="4"/>
        <v>31</v>
      </c>
      <c r="AH23" s="21">
        <f t="shared" si="5"/>
        <v>30</v>
      </c>
      <c r="AI23" s="21">
        <f t="shared" si="6"/>
        <v>5</v>
      </c>
      <c r="AJ23" s="21" t="str">
        <f t="shared" si="7"/>
        <v>PASS</v>
      </c>
      <c r="AK23" s="21" t="str">
        <f t="shared" si="8"/>
        <v>PASS</v>
      </c>
    </row>
    <row r="24" spans="1:37" x14ac:dyDescent="0.25">
      <c r="A24" t="s">
        <v>28</v>
      </c>
      <c r="B24" s="9" t="s">
        <v>29</v>
      </c>
      <c r="C24" s="9">
        <v>25</v>
      </c>
      <c r="D24" s="9" t="s">
        <v>30</v>
      </c>
      <c r="E24" s="10" t="s">
        <v>31</v>
      </c>
      <c r="F24" s="10" t="s">
        <v>35</v>
      </c>
      <c r="G24">
        <v>2022</v>
      </c>
      <c r="H24" s="12">
        <v>44682</v>
      </c>
      <c r="I24" s="12">
        <v>44834</v>
      </c>
      <c r="J24">
        <v>1348.2515000000001</v>
      </c>
      <c r="K24">
        <v>-13798.55725</v>
      </c>
      <c r="L24">
        <v>8.8121013071895398</v>
      </c>
      <c r="M24">
        <v>-90.186648692810493</v>
      </c>
      <c r="N24">
        <v>74.286749999999998</v>
      </c>
      <c r="O24">
        <v>21.595010457516299</v>
      </c>
      <c r="P24">
        <v>30.2805</v>
      </c>
      <c r="Q24">
        <v>8.7732500000000009</v>
      </c>
      <c r="R24">
        <v>30</v>
      </c>
      <c r="S24">
        <v>62</v>
      </c>
      <c r="T24">
        <v>0.57526881720430101</v>
      </c>
      <c r="U24">
        <v>0.123596023939752</v>
      </c>
      <c r="V24">
        <v>153</v>
      </c>
      <c r="W24">
        <v>23.311546840958599</v>
      </c>
      <c r="Y24" s="29">
        <v>41.751730000000002</v>
      </c>
      <c r="Z24">
        <v>-69.955561399999993</v>
      </c>
      <c r="AC24" s="21">
        <f t="shared" si="0"/>
        <v>1</v>
      </c>
      <c r="AD24" s="21">
        <f t="shared" si="1"/>
        <v>31</v>
      </c>
      <c r="AE24" s="21">
        <f t="shared" si="2"/>
        <v>31</v>
      </c>
      <c r="AF24" s="21">
        <f t="shared" si="3"/>
        <v>31</v>
      </c>
      <c r="AG24" s="21">
        <f t="shared" si="4"/>
        <v>31</v>
      </c>
      <c r="AH24" s="21">
        <f t="shared" si="5"/>
        <v>30</v>
      </c>
      <c r="AI24" s="21">
        <f t="shared" si="6"/>
        <v>5</v>
      </c>
      <c r="AJ24" s="21" t="str">
        <f t="shared" si="7"/>
        <v>PASS</v>
      </c>
      <c r="AK24" s="21" t="str">
        <f t="shared" si="8"/>
        <v>PASS</v>
      </c>
    </row>
    <row r="25" spans="1:37" x14ac:dyDescent="0.25">
      <c r="A25" t="s">
        <v>28</v>
      </c>
      <c r="B25" s="9" t="s">
        <v>29</v>
      </c>
      <c r="C25" s="9">
        <v>25</v>
      </c>
      <c r="D25" s="9" t="s">
        <v>30</v>
      </c>
      <c r="E25" s="10" t="s">
        <v>31</v>
      </c>
      <c r="F25" s="10" t="s">
        <v>35</v>
      </c>
      <c r="G25">
        <v>2023</v>
      </c>
      <c r="H25" s="12">
        <v>45047</v>
      </c>
      <c r="I25" s="12">
        <v>45199</v>
      </c>
      <c r="J25">
        <v>822.18875000000003</v>
      </c>
      <c r="K25">
        <v>-14036.03225</v>
      </c>
      <c r="L25">
        <v>5.3737826797385599</v>
      </c>
      <c r="M25">
        <v>-91.738772875817006</v>
      </c>
      <c r="N25">
        <v>62.704000000000001</v>
      </c>
      <c r="O25">
        <v>21.387931100217902</v>
      </c>
      <c r="P25">
        <v>29.571249999999999</v>
      </c>
      <c r="Q25">
        <v>11.46125</v>
      </c>
      <c r="R25">
        <v>35</v>
      </c>
      <c r="S25">
        <v>63</v>
      </c>
      <c r="T25">
        <v>0.42791005291005302</v>
      </c>
      <c r="U25">
        <v>8.4399679974311095E-2</v>
      </c>
      <c r="V25">
        <v>153</v>
      </c>
      <c r="W25">
        <v>17.619825708061001</v>
      </c>
      <c r="Y25" s="29">
        <v>41.751730000000002</v>
      </c>
      <c r="Z25">
        <v>-69.955561399999993</v>
      </c>
      <c r="AC25" s="21">
        <f t="shared" si="0"/>
        <v>1</v>
      </c>
      <c r="AD25" s="21">
        <f t="shared" si="1"/>
        <v>31</v>
      </c>
      <c r="AE25" s="21">
        <f t="shared" si="2"/>
        <v>31</v>
      </c>
      <c r="AF25" s="21">
        <f t="shared" si="3"/>
        <v>31</v>
      </c>
      <c r="AG25" s="21">
        <f t="shared" si="4"/>
        <v>31</v>
      </c>
      <c r="AH25" s="21">
        <f t="shared" si="5"/>
        <v>30</v>
      </c>
      <c r="AI25" s="21">
        <f t="shared" si="6"/>
        <v>5</v>
      </c>
      <c r="AJ25" s="21" t="str">
        <f t="shared" si="7"/>
        <v>PASS</v>
      </c>
      <c r="AK25" s="21" t="str">
        <f t="shared" si="8"/>
        <v>PASS</v>
      </c>
    </row>
    <row r="26" spans="1:37" x14ac:dyDescent="0.25">
      <c r="A26" t="s">
        <v>28</v>
      </c>
      <c r="B26" s="9" t="s">
        <v>29</v>
      </c>
      <c r="C26" s="9">
        <v>25</v>
      </c>
      <c r="D26" s="9" t="s">
        <v>30</v>
      </c>
      <c r="E26" s="10" t="s">
        <v>31</v>
      </c>
      <c r="F26" s="10" t="s">
        <v>35</v>
      </c>
      <c r="G26">
        <v>2024</v>
      </c>
      <c r="H26" s="12">
        <v>45413</v>
      </c>
      <c r="I26" s="12">
        <v>45565</v>
      </c>
      <c r="J26">
        <v>594.89</v>
      </c>
      <c r="K26">
        <v>-14395.64675</v>
      </c>
      <c r="L26">
        <v>3.8881699346405201</v>
      </c>
      <c r="M26">
        <v>-94.089194444444402</v>
      </c>
      <c r="N26">
        <v>53.643999999999998</v>
      </c>
      <c r="O26">
        <v>21.2288474537037</v>
      </c>
      <c r="P26">
        <v>29.4085</v>
      </c>
      <c r="Q26">
        <v>11.23625</v>
      </c>
      <c r="R26">
        <v>17</v>
      </c>
      <c r="S26">
        <v>43</v>
      </c>
      <c r="T26">
        <v>0.45348837209302301</v>
      </c>
      <c r="U26">
        <v>0.110302485959583</v>
      </c>
      <c r="V26">
        <v>153</v>
      </c>
      <c r="W26">
        <v>12.7450980392157</v>
      </c>
      <c r="Y26" s="29">
        <v>41.751730000000002</v>
      </c>
      <c r="Z26">
        <v>-69.955561399999993</v>
      </c>
      <c r="AC26" s="21">
        <f t="shared" si="0"/>
        <v>1</v>
      </c>
      <c r="AD26" s="21">
        <f t="shared" si="1"/>
        <v>31</v>
      </c>
      <c r="AE26" s="21">
        <f t="shared" si="2"/>
        <v>31</v>
      </c>
      <c r="AF26" s="21">
        <f t="shared" si="3"/>
        <v>31</v>
      </c>
      <c r="AG26" s="21">
        <f t="shared" si="4"/>
        <v>31</v>
      </c>
      <c r="AH26" s="21">
        <f t="shared" si="5"/>
        <v>30</v>
      </c>
      <c r="AI26" s="21">
        <f t="shared" si="6"/>
        <v>5</v>
      </c>
      <c r="AJ26" s="21" t="str">
        <f t="shared" si="7"/>
        <v>PASS</v>
      </c>
      <c r="AK26" s="21" t="str">
        <f t="shared" si="8"/>
        <v>PASS</v>
      </c>
    </row>
    <row r="27" spans="1:37" x14ac:dyDescent="0.25">
      <c r="A27" t="s">
        <v>28</v>
      </c>
      <c r="B27" s="9" t="s">
        <v>29</v>
      </c>
      <c r="C27" s="9">
        <v>25</v>
      </c>
      <c r="D27" s="9" t="s">
        <v>30</v>
      </c>
      <c r="E27" s="10" t="s">
        <v>31</v>
      </c>
      <c r="F27" s="10" t="s">
        <v>37</v>
      </c>
      <c r="G27" s="1">
        <v>2004</v>
      </c>
      <c r="H27" s="12">
        <v>38108</v>
      </c>
      <c r="I27" s="12">
        <v>38231</v>
      </c>
      <c r="J27" s="1">
        <v>46.12</v>
      </c>
      <c r="K27" s="1">
        <v>-13524.3</v>
      </c>
      <c r="L27" s="1">
        <v>0.37193500000000002</v>
      </c>
      <c r="M27" s="1">
        <v>-109.06699999999999</v>
      </c>
      <c r="N27" s="1">
        <v>12.17</v>
      </c>
      <c r="O27" s="1">
        <v>20.40157</v>
      </c>
      <c r="P27" s="1">
        <v>26.344999999999999</v>
      </c>
      <c r="Q27" s="1">
        <v>12.515000000000001</v>
      </c>
      <c r="R27" s="1">
        <v>5</v>
      </c>
      <c r="S27" s="1">
        <v>14</v>
      </c>
      <c r="T27" s="1">
        <v>0.32142900000000002</v>
      </c>
      <c r="U27" s="1">
        <v>6.6015000000000004E-2</v>
      </c>
      <c r="V27" s="1">
        <v>124</v>
      </c>
      <c r="W27" s="1">
        <v>3.665988</v>
      </c>
      <c r="Y27" s="29">
        <v>41.751730000000002</v>
      </c>
      <c r="Z27">
        <v>-69.955561399999993</v>
      </c>
      <c r="AC27" s="21">
        <f t="shared" si="0"/>
        <v>0.81045751633986929</v>
      </c>
      <c r="AD27" s="21">
        <f t="shared" si="1"/>
        <v>31</v>
      </c>
      <c r="AE27" s="21">
        <f t="shared" si="2"/>
        <v>31</v>
      </c>
      <c r="AF27" s="21">
        <f t="shared" si="3"/>
        <v>31</v>
      </c>
      <c r="AG27" s="21">
        <f t="shared" si="4"/>
        <v>31</v>
      </c>
      <c r="AH27" s="21">
        <f t="shared" si="5"/>
        <v>1</v>
      </c>
      <c r="AI27" s="21">
        <f t="shared" si="6"/>
        <v>4</v>
      </c>
      <c r="AJ27" s="21" t="str">
        <f t="shared" si="7"/>
        <v>PASS</v>
      </c>
      <c r="AK27" s="21" t="str">
        <f t="shared" si="8"/>
        <v>PASS</v>
      </c>
    </row>
    <row r="28" spans="1:37" x14ac:dyDescent="0.25">
      <c r="A28" t="s">
        <v>28</v>
      </c>
      <c r="B28" s="9" t="s">
        <v>29</v>
      </c>
      <c r="C28" s="9">
        <v>25</v>
      </c>
      <c r="D28" s="9" t="s">
        <v>30</v>
      </c>
      <c r="E28" s="10" t="s">
        <v>31</v>
      </c>
      <c r="F28" s="10" t="s">
        <v>37</v>
      </c>
      <c r="G28" s="1">
        <v>2005</v>
      </c>
      <c r="H28" s="12">
        <v>38473</v>
      </c>
      <c r="I28" s="12">
        <v>38625</v>
      </c>
      <c r="J28" s="1">
        <v>168.69</v>
      </c>
      <c r="K28" s="1">
        <v>-17271</v>
      </c>
      <c r="L28" s="1">
        <v>1.102549</v>
      </c>
      <c r="M28" s="1">
        <v>-112.88200000000001</v>
      </c>
      <c r="N28" s="1">
        <v>33.865000000000002</v>
      </c>
      <c r="O28" s="1">
        <v>20.342510000000001</v>
      </c>
      <c r="P28" s="1">
        <v>26.76</v>
      </c>
      <c r="Q28" s="1">
        <v>9.19</v>
      </c>
      <c r="R28" s="1">
        <v>7</v>
      </c>
      <c r="S28" s="1">
        <v>16</v>
      </c>
      <c r="T28" s="1">
        <v>0.703125</v>
      </c>
      <c r="U28" s="1">
        <v>0.27485999999999999</v>
      </c>
      <c r="V28" s="1">
        <v>153</v>
      </c>
      <c r="W28" s="1">
        <v>7.3529410000000004</v>
      </c>
      <c r="Y28" s="29">
        <v>41.751730000000002</v>
      </c>
      <c r="Z28">
        <v>-69.955561399999993</v>
      </c>
      <c r="AC28" s="21">
        <f t="shared" si="0"/>
        <v>1</v>
      </c>
      <c r="AD28" s="21">
        <f t="shared" si="1"/>
        <v>31</v>
      </c>
      <c r="AE28" s="21">
        <f t="shared" si="2"/>
        <v>31</v>
      </c>
      <c r="AF28" s="21">
        <f t="shared" si="3"/>
        <v>31</v>
      </c>
      <c r="AG28" s="21">
        <f t="shared" si="4"/>
        <v>31</v>
      </c>
      <c r="AH28" s="21">
        <f t="shared" si="5"/>
        <v>30</v>
      </c>
      <c r="AI28" s="21">
        <f t="shared" si="6"/>
        <v>5</v>
      </c>
      <c r="AJ28" s="21" t="str">
        <f t="shared" si="7"/>
        <v>PASS</v>
      </c>
      <c r="AK28" s="21" t="str">
        <f t="shared" si="8"/>
        <v>PASS</v>
      </c>
    </row>
    <row r="29" spans="1:37" x14ac:dyDescent="0.25">
      <c r="A29" t="s">
        <v>28</v>
      </c>
      <c r="B29" s="9" t="s">
        <v>29</v>
      </c>
      <c r="C29" s="9">
        <v>25</v>
      </c>
      <c r="D29" s="9" t="s">
        <v>30</v>
      </c>
      <c r="E29" s="10" t="s">
        <v>31</v>
      </c>
      <c r="F29" s="10" t="s">
        <v>37</v>
      </c>
      <c r="G29" s="1">
        <v>2006</v>
      </c>
      <c r="H29" s="12">
        <v>38838</v>
      </c>
      <c r="I29" s="12">
        <v>38990</v>
      </c>
      <c r="J29" s="1">
        <v>397.75</v>
      </c>
      <c r="K29" s="1">
        <v>-17683.7</v>
      </c>
      <c r="L29" s="1">
        <v>2.5996730000000001</v>
      </c>
      <c r="M29" s="1">
        <v>-115.57899999999999</v>
      </c>
      <c r="N29" s="1">
        <v>74.614999999999995</v>
      </c>
      <c r="O29" s="1">
        <v>20.29251</v>
      </c>
      <c r="P29" s="1">
        <v>29.23</v>
      </c>
      <c r="Q29" s="1">
        <v>9.7799999999999994</v>
      </c>
      <c r="R29" s="1">
        <v>15</v>
      </c>
      <c r="S29" s="1">
        <v>16</v>
      </c>
      <c r="T29" s="1">
        <v>0.87239599999999995</v>
      </c>
      <c r="U29" s="1">
        <v>0.41800900000000002</v>
      </c>
      <c r="V29" s="1">
        <v>153</v>
      </c>
      <c r="W29" s="1">
        <v>9.123094</v>
      </c>
      <c r="Y29" s="29">
        <v>41.751730000000002</v>
      </c>
      <c r="Z29">
        <v>-69.955561399999993</v>
      </c>
      <c r="AC29" s="21">
        <f t="shared" si="0"/>
        <v>1</v>
      </c>
      <c r="AD29" s="21">
        <f t="shared" si="1"/>
        <v>31</v>
      </c>
      <c r="AE29" s="21">
        <f t="shared" si="2"/>
        <v>31</v>
      </c>
      <c r="AF29" s="21">
        <f t="shared" si="3"/>
        <v>31</v>
      </c>
      <c r="AG29" s="21">
        <f t="shared" si="4"/>
        <v>31</v>
      </c>
      <c r="AH29" s="21">
        <f t="shared" si="5"/>
        <v>30</v>
      </c>
      <c r="AI29" s="21">
        <f t="shared" si="6"/>
        <v>5</v>
      </c>
      <c r="AJ29" s="21" t="str">
        <f t="shared" si="7"/>
        <v>PASS</v>
      </c>
      <c r="AK29" s="21" t="str">
        <f t="shared" si="8"/>
        <v>PASS</v>
      </c>
    </row>
    <row r="30" spans="1:37" x14ac:dyDescent="0.25">
      <c r="A30" t="s">
        <v>28</v>
      </c>
      <c r="B30" s="9" t="s">
        <v>29</v>
      </c>
      <c r="C30" s="9">
        <v>25</v>
      </c>
      <c r="D30" s="9" t="s">
        <v>30</v>
      </c>
      <c r="E30" s="10" t="s">
        <v>31</v>
      </c>
      <c r="F30" s="10" t="s">
        <v>37</v>
      </c>
      <c r="G30" s="1">
        <v>2007</v>
      </c>
      <c r="H30" s="12">
        <v>39203</v>
      </c>
      <c r="I30" s="12">
        <v>39355</v>
      </c>
      <c r="J30" s="1">
        <v>6.0949999999999998</v>
      </c>
      <c r="K30" s="1">
        <v>-20392</v>
      </c>
      <c r="L30" s="1">
        <v>3.9836999999999997E-2</v>
      </c>
      <c r="M30" s="1">
        <v>-133.28100000000001</v>
      </c>
      <c r="N30" s="1">
        <v>3.6680000000000001</v>
      </c>
      <c r="O30" s="1">
        <v>19.43572</v>
      </c>
      <c r="P30" s="1">
        <v>26.463000000000001</v>
      </c>
      <c r="Q30" s="1">
        <v>10.75</v>
      </c>
      <c r="R30" s="1">
        <v>4</v>
      </c>
      <c r="S30" s="1">
        <v>7</v>
      </c>
      <c r="T30" s="1">
        <v>8.9286000000000004E-2</v>
      </c>
      <c r="U30" s="1">
        <v>2.1184999999999999E-2</v>
      </c>
      <c r="V30" s="1">
        <v>153</v>
      </c>
      <c r="W30" s="1">
        <v>0.41062100000000001</v>
      </c>
      <c r="Y30" s="29">
        <v>41.751730000000002</v>
      </c>
      <c r="Z30">
        <v>-69.955561399999993</v>
      </c>
      <c r="AC30" s="21">
        <f t="shared" si="0"/>
        <v>1</v>
      </c>
      <c r="AD30" s="21">
        <f t="shared" si="1"/>
        <v>31</v>
      </c>
      <c r="AE30" s="21">
        <f t="shared" si="2"/>
        <v>31</v>
      </c>
      <c r="AF30" s="21">
        <f t="shared" si="3"/>
        <v>31</v>
      </c>
      <c r="AG30" s="21">
        <f t="shared" si="4"/>
        <v>31</v>
      </c>
      <c r="AH30" s="21">
        <f t="shared" si="5"/>
        <v>30</v>
      </c>
      <c r="AI30" s="21">
        <f t="shared" si="6"/>
        <v>5</v>
      </c>
      <c r="AJ30" s="21" t="str">
        <f t="shared" si="7"/>
        <v>PASS</v>
      </c>
      <c r="AK30" s="21" t="str">
        <f t="shared" si="8"/>
        <v>PASS</v>
      </c>
    </row>
    <row r="31" spans="1:37" x14ac:dyDescent="0.25">
      <c r="A31" t="s">
        <v>28</v>
      </c>
      <c r="B31" s="9" t="s">
        <v>29</v>
      </c>
      <c r="C31" s="9">
        <v>25</v>
      </c>
      <c r="D31" s="9" t="s">
        <v>30</v>
      </c>
      <c r="E31" s="10" t="s">
        <v>31</v>
      </c>
      <c r="F31" s="10" t="s">
        <v>37</v>
      </c>
      <c r="G31" s="1">
        <v>2008</v>
      </c>
      <c r="H31" s="12">
        <v>39569</v>
      </c>
      <c r="I31" s="12">
        <v>39721</v>
      </c>
      <c r="J31" s="1">
        <v>0.62</v>
      </c>
      <c r="K31" s="1">
        <v>-23994.400000000001</v>
      </c>
      <c r="L31" s="1">
        <v>4.052E-3</v>
      </c>
      <c r="M31" s="1">
        <v>-156.82599999999999</v>
      </c>
      <c r="N31" s="1">
        <v>0.34399999999999997</v>
      </c>
      <c r="O31" s="1">
        <v>18.465730000000001</v>
      </c>
      <c r="P31" s="1">
        <v>25.344000000000001</v>
      </c>
      <c r="Q31" s="1">
        <v>8.5679999999999996</v>
      </c>
      <c r="R31" s="1">
        <v>1</v>
      </c>
      <c r="S31" s="1">
        <v>3</v>
      </c>
      <c r="T31" s="1">
        <v>4.1667000000000003E-2</v>
      </c>
      <c r="U31" s="1">
        <v>0</v>
      </c>
      <c r="V31" s="1">
        <v>153</v>
      </c>
      <c r="W31" s="1">
        <v>8.1698999999999994E-2</v>
      </c>
      <c r="Y31" s="29">
        <v>41.751730000000002</v>
      </c>
      <c r="Z31">
        <v>-69.955561399999993</v>
      </c>
      <c r="AC31" s="21">
        <f t="shared" si="0"/>
        <v>1</v>
      </c>
      <c r="AD31" s="21">
        <f t="shared" si="1"/>
        <v>31</v>
      </c>
      <c r="AE31" s="21">
        <f t="shared" si="2"/>
        <v>31</v>
      </c>
      <c r="AF31" s="21">
        <f t="shared" si="3"/>
        <v>31</v>
      </c>
      <c r="AG31" s="21">
        <f t="shared" si="4"/>
        <v>31</v>
      </c>
      <c r="AH31" s="21">
        <f t="shared" si="5"/>
        <v>30</v>
      </c>
      <c r="AI31" s="21">
        <f t="shared" si="6"/>
        <v>5</v>
      </c>
      <c r="AJ31" s="21" t="str">
        <f t="shared" si="7"/>
        <v>PASS</v>
      </c>
      <c r="AK31" s="21" t="str">
        <f t="shared" si="8"/>
        <v>PASS</v>
      </c>
    </row>
    <row r="32" spans="1:37" x14ac:dyDescent="0.25">
      <c r="A32" t="s">
        <v>28</v>
      </c>
      <c r="B32" s="9" t="s">
        <v>29</v>
      </c>
      <c r="C32" s="9">
        <v>25</v>
      </c>
      <c r="D32" s="9" t="s">
        <v>30</v>
      </c>
      <c r="E32" s="10" t="s">
        <v>31</v>
      </c>
      <c r="F32" s="10" t="s">
        <v>37</v>
      </c>
      <c r="G32" s="1">
        <v>2009</v>
      </c>
      <c r="H32" s="12">
        <v>39934</v>
      </c>
      <c r="I32" s="12">
        <v>40086</v>
      </c>
      <c r="J32" s="1">
        <v>40.8185</v>
      </c>
      <c r="K32" s="1">
        <v>-24000.400000000001</v>
      </c>
      <c r="L32" s="1">
        <v>0.26678800000000003</v>
      </c>
      <c r="M32" s="1">
        <v>-156.86500000000001</v>
      </c>
      <c r="N32" s="1">
        <v>5.4295</v>
      </c>
      <c r="O32" s="1">
        <v>18.465900000000001</v>
      </c>
      <c r="P32" s="1">
        <v>27.185500000000001</v>
      </c>
      <c r="Q32" s="1">
        <v>9.7925000000000004</v>
      </c>
      <c r="R32" s="1">
        <v>8</v>
      </c>
      <c r="S32" s="1">
        <v>22</v>
      </c>
      <c r="T32" s="1">
        <v>0.149621</v>
      </c>
      <c r="U32" s="1">
        <v>1.2759E-2</v>
      </c>
      <c r="V32" s="1">
        <v>153</v>
      </c>
      <c r="W32" s="1">
        <v>2.15435</v>
      </c>
      <c r="Y32" s="29">
        <v>41.751730000000002</v>
      </c>
      <c r="Z32">
        <v>-69.955561399999993</v>
      </c>
      <c r="AC32" s="21">
        <f t="shared" si="0"/>
        <v>1</v>
      </c>
      <c r="AD32" s="21">
        <f t="shared" si="1"/>
        <v>31</v>
      </c>
      <c r="AE32" s="21">
        <f t="shared" si="2"/>
        <v>31</v>
      </c>
      <c r="AF32" s="21">
        <f t="shared" si="3"/>
        <v>31</v>
      </c>
      <c r="AG32" s="21">
        <f t="shared" si="4"/>
        <v>31</v>
      </c>
      <c r="AH32" s="21">
        <f t="shared" si="5"/>
        <v>30</v>
      </c>
      <c r="AI32" s="21">
        <f t="shared" si="6"/>
        <v>5</v>
      </c>
      <c r="AJ32" s="21" t="str">
        <f t="shared" si="7"/>
        <v>PASS</v>
      </c>
      <c r="AK32" s="21" t="str">
        <f t="shared" si="8"/>
        <v>PASS</v>
      </c>
    </row>
    <row r="33" spans="1:37" x14ac:dyDescent="0.25">
      <c r="A33" t="s">
        <v>28</v>
      </c>
      <c r="B33" s="9" t="s">
        <v>29</v>
      </c>
      <c r="C33" s="9">
        <v>25</v>
      </c>
      <c r="D33" s="9" t="s">
        <v>30</v>
      </c>
      <c r="E33" s="10" t="s">
        <v>31</v>
      </c>
      <c r="F33" s="10" t="s">
        <v>37</v>
      </c>
      <c r="G33" s="1">
        <v>2010</v>
      </c>
      <c r="H33" s="12">
        <v>40299</v>
      </c>
      <c r="I33" s="12">
        <v>40451</v>
      </c>
      <c r="J33" s="1">
        <v>194.583</v>
      </c>
      <c r="K33" s="1">
        <v>-18956.900000000001</v>
      </c>
      <c r="L33" s="1">
        <v>1.271784</v>
      </c>
      <c r="M33" s="1">
        <v>-123.901</v>
      </c>
      <c r="N33" s="1">
        <v>40.912500000000001</v>
      </c>
      <c r="O33" s="1">
        <v>19.890440000000002</v>
      </c>
      <c r="P33" s="1">
        <v>28.866</v>
      </c>
      <c r="Q33" s="1">
        <v>8.8045000000000009</v>
      </c>
      <c r="R33" s="1">
        <v>10</v>
      </c>
      <c r="S33" s="1">
        <v>51</v>
      </c>
      <c r="T33" s="1">
        <v>0.18709200000000001</v>
      </c>
      <c r="U33" s="1">
        <v>1.4309000000000001E-2</v>
      </c>
      <c r="V33" s="1">
        <v>153</v>
      </c>
      <c r="W33" s="1">
        <v>6.236383</v>
      </c>
      <c r="Y33" s="29">
        <v>41.751730000000002</v>
      </c>
      <c r="Z33">
        <v>-69.955561399999993</v>
      </c>
      <c r="AC33" s="21">
        <f t="shared" si="0"/>
        <v>1</v>
      </c>
      <c r="AD33" s="21">
        <f t="shared" si="1"/>
        <v>31</v>
      </c>
      <c r="AE33" s="21">
        <f t="shared" si="2"/>
        <v>31</v>
      </c>
      <c r="AF33" s="21">
        <f t="shared" si="3"/>
        <v>31</v>
      </c>
      <c r="AG33" s="21">
        <f t="shared" si="4"/>
        <v>31</v>
      </c>
      <c r="AH33" s="21">
        <f t="shared" si="5"/>
        <v>30</v>
      </c>
      <c r="AI33" s="21">
        <f t="shared" si="6"/>
        <v>5</v>
      </c>
      <c r="AJ33" s="21" t="str">
        <f t="shared" si="7"/>
        <v>PASS</v>
      </c>
      <c r="AK33" s="21" t="str">
        <f t="shared" si="8"/>
        <v>PASS</v>
      </c>
    </row>
    <row r="34" spans="1:37" x14ac:dyDescent="0.25">
      <c r="A34" t="s">
        <v>28</v>
      </c>
      <c r="B34" s="9" t="s">
        <v>29</v>
      </c>
      <c r="C34" s="9">
        <v>25</v>
      </c>
      <c r="D34" s="9" t="s">
        <v>30</v>
      </c>
      <c r="E34" s="10" t="s">
        <v>31</v>
      </c>
      <c r="F34" s="10" t="s">
        <v>37</v>
      </c>
      <c r="G34" s="1">
        <v>2011</v>
      </c>
      <c r="H34" s="12">
        <v>40664</v>
      </c>
      <c r="I34" s="12">
        <v>40816</v>
      </c>
      <c r="J34" s="1">
        <v>39.741500000000002</v>
      </c>
      <c r="K34" s="1">
        <v>-20810</v>
      </c>
      <c r="L34" s="1">
        <v>0.25974799999999998</v>
      </c>
      <c r="M34" s="1">
        <v>-136.01300000000001</v>
      </c>
      <c r="N34" s="1">
        <v>6.3775000000000004</v>
      </c>
      <c r="O34" s="1">
        <v>19.343620000000001</v>
      </c>
      <c r="P34" s="1">
        <v>27.344999999999999</v>
      </c>
      <c r="Q34" s="1">
        <v>10.220000000000001</v>
      </c>
      <c r="R34" s="1">
        <v>6</v>
      </c>
      <c r="S34" s="1">
        <v>15</v>
      </c>
      <c r="T34" s="1">
        <v>0.161111</v>
      </c>
      <c r="U34" s="1">
        <v>2.3311999999999999E-2</v>
      </c>
      <c r="V34" s="1">
        <v>153</v>
      </c>
      <c r="W34" s="1">
        <v>1.579521</v>
      </c>
      <c r="Y34" s="29">
        <v>41.751730000000002</v>
      </c>
      <c r="Z34">
        <v>-69.955561399999993</v>
      </c>
      <c r="AC34" s="21">
        <f t="shared" si="0"/>
        <v>1</v>
      </c>
      <c r="AD34" s="21">
        <f t="shared" si="1"/>
        <v>31</v>
      </c>
      <c r="AE34" s="21">
        <f t="shared" si="2"/>
        <v>31</v>
      </c>
      <c r="AF34" s="21">
        <f t="shared" si="3"/>
        <v>31</v>
      </c>
      <c r="AG34" s="21">
        <f t="shared" si="4"/>
        <v>31</v>
      </c>
      <c r="AH34" s="21">
        <f t="shared" si="5"/>
        <v>30</v>
      </c>
      <c r="AI34" s="21">
        <f t="shared" si="6"/>
        <v>5</v>
      </c>
      <c r="AJ34" s="21" t="str">
        <f t="shared" si="7"/>
        <v>PASS</v>
      </c>
      <c r="AK34" s="21" t="str">
        <f t="shared" si="8"/>
        <v>PASS</v>
      </c>
    </row>
    <row r="35" spans="1:37" x14ac:dyDescent="0.25">
      <c r="A35" t="s">
        <v>28</v>
      </c>
      <c r="B35" s="9" t="s">
        <v>29</v>
      </c>
      <c r="C35" s="9">
        <v>25</v>
      </c>
      <c r="D35" s="9" t="s">
        <v>30</v>
      </c>
      <c r="E35" s="10" t="s">
        <v>31</v>
      </c>
      <c r="F35" s="10" t="s">
        <v>37</v>
      </c>
      <c r="G35" s="1">
        <v>2012</v>
      </c>
      <c r="H35" s="12">
        <v>41030</v>
      </c>
      <c r="I35" s="12">
        <v>41182</v>
      </c>
      <c r="J35" s="1">
        <v>502.87450000000001</v>
      </c>
      <c r="K35" s="1">
        <v>-16440.599999999999</v>
      </c>
      <c r="L35" s="1">
        <v>3.2867609999999998</v>
      </c>
      <c r="M35" s="1">
        <v>-107.455</v>
      </c>
      <c r="N35" s="1">
        <v>43.450499999999998</v>
      </c>
      <c r="O35" s="1">
        <v>20.656590000000001</v>
      </c>
      <c r="P35" s="1">
        <v>28.778500000000001</v>
      </c>
      <c r="Q35" s="1">
        <v>10.246499999999999</v>
      </c>
      <c r="R35" s="1">
        <v>17</v>
      </c>
      <c r="S35" s="1">
        <v>84</v>
      </c>
      <c r="T35" s="1">
        <v>0.24305599999999999</v>
      </c>
      <c r="U35" s="1">
        <v>1.7569999999999999E-2</v>
      </c>
      <c r="V35" s="1">
        <v>153</v>
      </c>
      <c r="W35" s="1">
        <v>13.347860000000001</v>
      </c>
      <c r="Y35" s="29">
        <v>41.751730000000002</v>
      </c>
      <c r="Z35">
        <v>-69.955561399999993</v>
      </c>
      <c r="AC35" s="21">
        <f t="shared" si="0"/>
        <v>1</v>
      </c>
      <c r="AD35" s="21">
        <f t="shared" si="1"/>
        <v>31</v>
      </c>
      <c r="AE35" s="21">
        <f t="shared" si="2"/>
        <v>31</v>
      </c>
      <c r="AF35" s="21">
        <f t="shared" si="3"/>
        <v>31</v>
      </c>
      <c r="AG35" s="21">
        <f t="shared" si="4"/>
        <v>31</v>
      </c>
      <c r="AH35" s="21">
        <f t="shared" si="5"/>
        <v>30</v>
      </c>
      <c r="AI35" s="21">
        <f t="shared" si="6"/>
        <v>5</v>
      </c>
      <c r="AJ35" s="21" t="str">
        <f t="shared" si="7"/>
        <v>PASS</v>
      </c>
      <c r="AK35" s="21" t="str">
        <f t="shared" si="8"/>
        <v>PASS</v>
      </c>
    </row>
    <row r="36" spans="1:37" x14ac:dyDescent="0.25">
      <c r="A36" t="s">
        <v>28</v>
      </c>
      <c r="B36" s="9" t="s">
        <v>29</v>
      </c>
      <c r="C36" s="9">
        <v>25</v>
      </c>
      <c r="D36" s="9" t="s">
        <v>30</v>
      </c>
      <c r="E36" s="10" t="s">
        <v>31</v>
      </c>
      <c r="F36" s="10" t="s">
        <v>37</v>
      </c>
      <c r="G36" s="1">
        <v>2013</v>
      </c>
      <c r="H36" s="12">
        <v>41395</v>
      </c>
      <c r="I36" s="12">
        <v>41547</v>
      </c>
      <c r="J36" s="1">
        <v>476.16250000000002</v>
      </c>
      <c r="K36" s="1">
        <v>-17114</v>
      </c>
      <c r="L36" s="1">
        <v>3.1121729999999999</v>
      </c>
      <c r="M36" s="1">
        <v>-111.857</v>
      </c>
      <c r="N36" s="1">
        <v>51.577500000000001</v>
      </c>
      <c r="O36" s="1">
        <v>20.468990000000002</v>
      </c>
      <c r="P36" s="1">
        <v>30.004000000000001</v>
      </c>
      <c r="Q36" s="1">
        <v>9.6445000000000007</v>
      </c>
      <c r="R36" s="1">
        <v>12</v>
      </c>
      <c r="S36" s="1">
        <v>39</v>
      </c>
      <c r="T36" s="1">
        <v>0.372863</v>
      </c>
      <c r="U36" s="1">
        <v>5.2956000000000003E-2</v>
      </c>
      <c r="V36" s="1">
        <v>153</v>
      </c>
      <c r="W36" s="1">
        <v>9.5043570000000006</v>
      </c>
      <c r="Y36" s="29">
        <v>41.751730000000002</v>
      </c>
      <c r="Z36">
        <v>-69.955561399999993</v>
      </c>
      <c r="AC36" s="21">
        <f t="shared" si="0"/>
        <v>1</v>
      </c>
      <c r="AD36" s="21">
        <f t="shared" si="1"/>
        <v>31</v>
      </c>
      <c r="AE36" s="21">
        <f t="shared" si="2"/>
        <v>31</v>
      </c>
      <c r="AF36" s="21">
        <f t="shared" si="3"/>
        <v>31</v>
      </c>
      <c r="AG36" s="21">
        <f t="shared" si="4"/>
        <v>31</v>
      </c>
      <c r="AH36" s="21">
        <f t="shared" si="5"/>
        <v>30</v>
      </c>
      <c r="AI36" s="21">
        <f t="shared" si="6"/>
        <v>5</v>
      </c>
      <c r="AJ36" s="21" t="str">
        <f t="shared" si="7"/>
        <v>PASS</v>
      </c>
      <c r="AK36" s="21" t="str">
        <f t="shared" si="8"/>
        <v>PASS</v>
      </c>
    </row>
    <row r="37" spans="1:37" x14ac:dyDescent="0.25">
      <c r="A37" t="s">
        <v>28</v>
      </c>
      <c r="B37" s="9" t="s">
        <v>29</v>
      </c>
      <c r="C37" s="9">
        <v>25</v>
      </c>
      <c r="D37" s="9" t="s">
        <v>30</v>
      </c>
      <c r="E37" s="10" t="s">
        <v>31</v>
      </c>
      <c r="F37" s="10" t="s">
        <v>37</v>
      </c>
      <c r="G37" s="1">
        <v>2014</v>
      </c>
      <c r="H37" s="12">
        <v>41760</v>
      </c>
      <c r="I37" s="12">
        <v>41912</v>
      </c>
      <c r="J37" s="1">
        <v>40.659999999999997</v>
      </c>
      <c r="K37" s="1">
        <v>-19138</v>
      </c>
      <c r="L37" s="1">
        <v>0.26575199999999999</v>
      </c>
      <c r="M37" s="1">
        <v>-125.08499999999999</v>
      </c>
      <c r="N37" s="1">
        <v>8.5124999999999993</v>
      </c>
      <c r="O37" s="1">
        <v>19.799199999999999</v>
      </c>
      <c r="P37" s="1">
        <v>26.952999999999999</v>
      </c>
      <c r="Q37" s="1">
        <v>7.3680000000000003</v>
      </c>
      <c r="R37" s="1">
        <v>5</v>
      </c>
      <c r="S37" s="1">
        <v>20</v>
      </c>
      <c r="T37" s="1">
        <v>0.14583299999999999</v>
      </c>
      <c r="U37" s="1">
        <v>1.6136999999999999E-2</v>
      </c>
      <c r="V37" s="1">
        <v>153</v>
      </c>
      <c r="W37" s="1">
        <v>1.906318</v>
      </c>
      <c r="Y37" s="29">
        <v>41.751730000000002</v>
      </c>
      <c r="Z37">
        <v>-69.955561399999993</v>
      </c>
      <c r="AC37" s="21">
        <f t="shared" si="0"/>
        <v>1</v>
      </c>
      <c r="AD37" s="21">
        <f t="shared" si="1"/>
        <v>31</v>
      </c>
      <c r="AE37" s="21">
        <f t="shared" si="2"/>
        <v>31</v>
      </c>
      <c r="AF37" s="21">
        <f t="shared" si="3"/>
        <v>31</v>
      </c>
      <c r="AG37" s="21">
        <f t="shared" si="4"/>
        <v>31</v>
      </c>
      <c r="AH37" s="21">
        <f t="shared" si="5"/>
        <v>30</v>
      </c>
      <c r="AI37" s="21">
        <f t="shared" si="6"/>
        <v>5</v>
      </c>
      <c r="AJ37" s="21" t="str">
        <f t="shared" si="7"/>
        <v>PASS</v>
      </c>
      <c r="AK37" s="21" t="str">
        <f t="shared" si="8"/>
        <v>PASS</v>
      </c>
    </row>
    <row r="38" spans="1:37" x14ac:dyDescent="0.25">
      <c r="A38" t="s">
        <v>28</v>
      </c>
      <c r="B38" s="9" t="s">
        <v>29</v>
      </c>
      <c r="C38" s="9">
        <v>25</v>
      </c>
      <c r="D38" s="9" t="s">
        <v>30</v>
      </c>
      <c r="E38" s="10" t="s">
        <v>31</v>
      </c>
      <c r="F38" s="10" t="s">
        <v>37</v>
      </c>
      <c r="G38" s="1">
        <v>2015</v>
      </c>
      <c r="H38" s="12">
        <v>42125</v>
      </c>
      <c r="I38" s="12">
        <v>42277</v>
      </c>
      <c r="J38" s="1">
        <v>477.0985</v>
      </c>
      <c r="K38" s="1">
        <v>-14705.6</v>
      </c>
      <c r="L38" s="1">
        <v>3.1182910000000001</v>
      </c>
      <c r="M38" s="1">
        <v>-96.115300000000005</v>
      </c>
      <c r="N38" s="1">
        <v>40.168500000000002</v>
      </c>
      <c r="O38" s="1">
        <v>21.125119999999999</v>
      </c>
      <c r="P38" s="1">
        <v>28.8475</v>
      </c>
      <c r="Q38" s="1">
        <v>10.063000000000001</v>
      </c>
      <c r="R38" s="1">
        <v>13</v>
      </c>
      <c r="S38" s="1">
        <v>64</v>
      </c>
      <c r="T38" s="1">
        <v>0.299479</v>
      </c>
      <c r="U38" s="1">
        <v>2.9489999999999999E-2</v>
      </c>
      <c r="V38" s="1">
        <v>153</v>
      </c>
      <c r="W38" s="1">
        <v>12.527229999999999</v>
      </c>
      <c r="Y38" s="29">
        <v>41.751730000000002</v>
      </c>
      <c r="Z38">
        <v>-69.955561399999993</v>
      </c>
      <c r="AC38" s="21">
        <f t="shared" si="0"/>
        <v>1</v>
      </c>
      <c r="AD38" s="21">
        <f t="shared" si="1"/>
        <v>31</v>
      </c>
      <c r="AE38" s="21">
        <f t="shared" si="2"/>
        <v>31</v>
      </c>
      <c r="AF38" s="21">
        <f t="shared" si="3"/>
        <v>31</v>
      </c>
      <c r="AG38" s="21">
        <f t="shared" si="4"/>
        <v>31</v>
      </c>
      <c r="AH38" s="21">
        <f t="shared" si="5"/>
        <v>30</v>
      </c>
      <c r="AI38" s="21">
        <f t="shared" si="6"/>
        <v>5</v>
      </c>
      <c r="AJ38" s="21" t="str">
        <f t="shared" si="7"/>
        <v>PASS</v>
      </c>
      <c r="AK38" s="21" t="str">
        <f t="shared" si="8"/>
        <v>PASS</v>
      </c>
    </row>
    <row r="39" spans="1:37" x14ac:dyDescent="0.25">
      <c r="A39" t="s">
        <v>28</v>
      </c>
      <c r="B39" s="9" t="s">
        <v>29</v>
      </c>
      <c r="C39" s="9">
        <v>25</v>
      </c>
      <c r="D39" s="9" t="s">
        <v>30</v>
      </c>
      <c r="E39" s="10" t="s">
        <v>31</v>
      </c>
      <c r="F39" s="10" t="s">
        <v>37</v>
      </c>
      <c r="G39" s="1">
        <v>2016</v>
      </c>
      <c r="H39" s="12">
        <v>42491</v>
      </c>
      <c r="I39" s="12">
        <v>42643</v>
      </c>
      <c r="J39" s="1">
        <v>768.47879999999998</v>
      </c>
      <c r="K39" s="1">
        <v>-15224.4</v>
      </c>
      <c r="L39" s="1">
        <v>5.0227370000000002</v>
      </c>
      <c r="M39" s="1">
        <v>-99.506100000000004</v>
      </c>
      <c r="N39" s="1">
        <v>60.672750000000001</v>
      </c>
      <c r="O39" s="1">
        <v>21.063189999999999</v>
      </c>
      <c r="P39" s="1">
        <v>29.170999999999999</v>
      </c>
      <c r="Q39" s="1">
        <v>8.2137499999999992</v>
      </c>
      <c r="R39" s="1">
        <v>28</v>
      </c>
      <c r="S39" s="1">
        <v>59</v>
      </c>
      <c r="T39" s="1">
        <v>0.433616</v>
      </c>
      <c r="U39" s="1">
        <v>9.5754000000000006E-2</v>
      </c>
      <c r="V39" s="1">
        <v>153</v>
      </c>
      <c r="W39" s="1">
        <v>16.721129999999999</v>
      </c>
      <c r="Y39" s="29">
        <v>41.751730000000002</v>
      </c>
      <c r="Z39">
        <v>-69.955561399999993</v>
      </c>
      <c r="AC39" s="21">
        <f t="shared" si="0"/>
        <v>1</v>
      </c>
      <c r="AD39" s="21">
        <f t="shared" si="1"/>
        <v>31</v>
      </c>
      <c r="AE39" s="21">
        <f t="shared" si="2"/>
        <v>31</v>
      </c>
      <c r="AF39" s="21">
        <f t="shared" si="3"/>
        <v>31</v>
      </c>
      <c r="AG39" s="21">
        <f t="shared" si="4"/>
        <v>31</v>
      </c>
      <c r="AH39" s="21">
        <f t="shared" si="5"/>
        <v>30</v>
      </c>
      <c r="AI39" s="21">
        <f t="shared" si="6"/>
        <v>5</v>
      </c>
      <c r="AJ39" s="21" t="str">
        <f t="shared" si="7"/>
        <v>PASS</v>
      </c>
      <c r="AK39" s="21" t="str">
        <f t="shared" si="8"/>
        <v>PASS</v>
      </c>
    </row>
    <row r="40" spans="1:37" x14ac:dyDescent="0.25">
      <c r="A40" t="s">
        <v>28</v>
      </c>
      <c r="B40" s="9" t="s">
        <v>29</v>
      </c>
      <c r="C40" s="9">
        <v>25</v>
      </c>
      <c r="D40" s="9" t="s">
        <v>30</v>
      </c>
      <c r="E40" s="10" t="s">
        <v>31</v>
      </c>
      <c r="F40" s="10" t="s">
        <v>37</v>
      </c>
      <c r="G40" s="1">
        <v>2017</v>
      </c>
      <c r="H40" s="12">
        <v>42856</v>
      </c>
      <c r="I40" s="12">
        <v>43008</v>
      </c>
      <c r="J40" s="1">
        <v>2.19475</v>
      </c>
      <c r="K40" s="1">
        <v>-20780.400000000001</v>
      </c>
      <c r="L40" s="1">
        <v>1.4345E-2</v>
      </c>
      <c r="M40" s="1">
        <v>-135.82</v>
      </c>
      <c r="N40" s="1">
        <v>1.3732500000000001</v>
      </c>
      <c r="O40" s="1">
        <v>19.341439999999999</v>
      </c>
      <c r="P40" s="1">
        <v>25.258500000000002</v>
      </c>
      <c r="Q40" s="1">
        <v>12.098000000000001</v>
      </c>
      <c r="R40" s="1">
        <v>2</v>
      </c>
      <c r="S40" s="1">
        <v>2</v>
      </c>
      <c r="T40" s="1">
        <v>0.22916700000000001</v>
      </c>
      <c r="U40" s="1">
        <v>6.25E-2</v>
      </c>
      <c r="V40" s="1">
        <v>153</v>
      </c>
      <c r="W40" s="1">
        <v>0.299564</v>
      </c>
      <c r="Y40" s="29">
        <v>41.751730000000002</v>
      </c>
      <c r="Z40">
        <v>-69.955561399999993</v>
      </c>
      <c r="AC40" s="21">
        <f t="shared" si="0"/>
        <v>1</v>
      </c>
      <c r="AD40" s="21">
        <f t="shared" si="1"/>
        <v>31</v>
      </c>
      <c r="AE40" s="21">
        <f t="shared" si="2"/>
        <v>31</v>
      </c>
      <c r="AF40" s="21">
        <f t="shared" si="3"/>
        <v>31</v>
      </c>
      <c r="AG40" s="21">
        <f t="shared" si="4"/>
        <v>31</v>
      </c>
      <c r="AH40" s="21">
        <f t="shared" si="5"/>
        <v>30</v>
      </c>
      <c r="AI40" s="21">
        <f t="shared" si="6"/>
        <v>5</v>
      </c>
      <c r="AJ40" s="21" t="str">
        <f t="shared" si="7"/>
        <v>PASS</v>
      </c>
      <c r="AK40" s="21" t="str">
        <f t="shared" si="8"/>
        <v>PASS</v>
      </c>
    </row>
    <row r="41" spans="1:37" x14ac:dyDescent="0.25">
      <c r="A41" t="s">
        <v>28</v>
      </c>
      <c r="B41" s="9" t="s">
        <v>29</v>
      </c>
      <c r="C41" s="9">
        <v>25</v>
      </c>
      <c r="D41" s="9" t="s">
        <v>30</v>
      </c>
      <c r="E41" s="10" t="s">
        <v>31</v>
      </c>
      <c r="F41" s="10" t="s">
        <v>37</v>
      </c>
      <c r="G41" s="1">
        <v>2018</v>
      </c>
      <c r="H41" s="12">
        <v>43221</v>
      </c>
      <c r="I41" s="12">
        <v>43373</v>
      </c>
      <c r="J41" s="1">
        <v>791.86329999999998</v>
      </c>
      <c r="K41" s="1">
        <v>-15857.4</v>
      </c>
      <c r="L41" s="1">
        <v>5.1755769999999997</v>
      </c>
      <c r="M41" s="1">
        <v>-103.643</v>
      </c>
      <c r="N41" s="1">
        <v>55.331499999999998</v>
      </c>
      <c r="O41" s="1">
        <v>20.897169999999999</v>
      </c>
      <c r="P41" s="1">
        <v>29.43375</v>
      </c>
      <c r="Q41" s="1">
        <v>10.43075</v>
      </c>
      <c r="R41" s="1">
        <v>15</v>
      </c>
      <c r="S41" s="1">
        <v>57</v>
      </c>
      <c r="T41" s="1">
        <v>0.43567299999999998</v>
      </c>
      <c r="U41" s="1">
        <v>5.8285999999999998E-2</v>
      </c>
      <c r="V41" s="1">
        <v>153</v>
      </c>
      <c r="W41" s="1">
        <v>16.23094</v>
      </c>
      <c r="Y41" s="29">
        <v>41.751730000000002</v>
      </c>
      <c r="Z41">
        <v>-69.955561399999993</v>
      </c>
      <c r="AC41" s="21">
        <f t="shared" si="0"/>
        <v>1</v>
      </c>
      <c r="AD41" s="21">
        <f t="shared" si="1"/>
        <v>31</v>
      </c>
      <c r="AE41" s="21">
        <f t="shared" si="2"/>
        <v>31</v>
      </c>
      <c r="AF41" s="21">
        <f t="shared" si="3"/>
        <v>31</v>
      </c>
      <c r="AG41" s="21">
        <f t="shared" si="4"/>
        <v>31</v>
      </c>
      <c r="AH41" s="21">
        <f t="shared" si="5"/>
        <v>30</v>
      </c>
      <c r="AI41" s="21">
        <f t="shared" si="6"/>
        <v>5</v>
      </c>
      <c r="AJ41" s="21" t="str">
        <f t="shared" si="7"/>
        <v>PASS</v>
      </c>
      <c r="AK41" s="21" t="str">
        <f t="shared" si="8"/>
        <v>PASS</v>
      </c>
    </row>
    <row r="42" spans="1:37" x14ac:dyDescent="0.25">
      <c r="A42" t="s">
        <v>28</v>
      </c>
      <c r="B42" s="9" t="s">
        <v>29</v>
      </c>
      <c r="C42" s="9">
        <v>25</v>
      </c>
      <c r="D42" s="9" t="s">
        <v>30</v>
      </c>
      <c r="E42" s="10" t="s">
        <v>31</v>
      </c>
      <c r="F42" s="10" t="s">
        <v>37</v>
      </c>
      <c r="G42" s="1">
        <v>2019</v>
      </c>
      <c r="H42" s="12">
        <v>43586</v>
      </c>
      <c r="I42" s="12">
        <v>43738</v>
      </c>
      <c r="J42" s="1">
        <v>335.57749999999999</v>
      </c>
      <c r="K42" s="1">
        <v>-18610</v>
      </c>
      <c r="L42" s="1">
        <v>2.193317</v>
      </c>
      <c r="M42" s="1">
        <v>-121.634</v>
      </c>
      <c r="N42" s="1">
        <v>40.401249999999997</v>
      </c>
      <c r="O42" s="1">
        <v>20.023299999999999</v>
      </c>
      <c r="P42" s="1">
        <v>28.214500000000001</v>
      </c>
      <c r="Q42" s="1">
        <v>10.17925</v>
      </c>
      <c r="R42" s="1">
        <v>13</v>
      </c>
      <c r="S42" s="1">
        <v>38</v>
      </c>
      <c r="T42" s="1">
        <v>0.42324600000000001</v>
      </c>
      <c r="U42" s="1">
        <v>5.1177E-2</v>
      </c>
      <c r="V42" s="1">
        <v>153</v>
      </c>
      <c r="W42" s="1">
        <v>10.511979999999999</v>
      </c>
      <c r="Y42" s="29">
        <v>41.751730000000002</v>
      </c>
      <c r="Z42">
        <v>-69.955561399999993</v>
      </c>
      <c r="AC42" s="21">
        <f t="shared" si="0"/>
        <v>1</v>
      </c>
      <c r="AD42" s="21">
        <f t="shared" si="1"/>
        <v>31</v>
      </c>
      <c r="AE42" s="21">
        <f t="shared" si="2"/>
        <v>31</v>
      </c>
      <c r="AF42" s="21">
        <f t="shared" si="3"/>
        <v>31</v>
      </c>
      <c r="AG42" s="21">
        <f t="shared" si="4"/>
        <v>31</v>
      </c>
      <c r="AH42" s="21">
        <f t="shared" si="5"/>
        <v>30</v>
      </c>
      <c r="AI42" s="21">
        <f t="shared" si="6"/>
        <v>5</v>
      </c>
      <c r="AJ42" s="21" t="str">
        <f t="shared" si="7"/>
        <v>PASS</v>
      </c>
      <c r="AK42" s="21" t="str">
        <f t="shared" si="8"/>
        <v>PASS</v>
      </c>
    </row>
    <row r="43" spans="1:37" x14ac:dyDescent="0.25">
      <c r="A43" t="s">
        <v>28</v>
      </c>
      <c r="B43" s="9" t="s">
        <v>29</v>
      </c>
      <c r="C43" s="9">
        <v>25</v>
      </c>
      <c r="D43" s="9" t="s">
        <v>30</v>
      </c>
      <c r="E43" s="10" t="s">
        <v>31</v>
      </c>
      <c r="F43" s="10" t="s">
        <v>37</v>
      </c>
      <c r="G43" s="1">
        <v>2020</v>
      </c>
      <c r="H43" s="12">
        <v>43952</v>
      </c>
      <c r="I43" s="12">
        <v>44104</v>
      </c>
      <c r="J43" s="1">
        <v>445.29750000000001</v>
      </c>
      <c r="K43" s="1">
        <v>-17221.3</v>
      </c>
      <c r="L43" s="1">
        <v>2.9104410000000001</v>
      </c>
      <c r="M43" s="1">
        <v>-112.557</v>
      </c>
      <c r="N43" s="1">
        <v>44.349249999999998</v>
      </c>
      <c r="O43" s="1">
        <v>20.431380000000001</v>
      </c>
      <c r="P43" s="1">
        <v>27.71425</v>
      </c>
      <c r="Q43" s="1">
        <v>8.4877500000000001</v>
      </c>
      <c r="R43" s="1">
        <v>18</v>
      </c>
      <c r="S43" s="1">
        <v>34</v>
      </c>
      <c r="T43" s="1">
        <v>0.56617600000000001</v>
      </c>
      <c r="U43" s="1">
        <v>0.103643</v>
      </c>
      <c r="V43" s="1">
        <v>153</v>
      </c>
      <c r="W43" s="1">
        <v>12.5817</v>
      </c>
      <c r="Y43" s="29">
        <v>41.751730000000002</v>
      </c>
      <c r="Z43">
        <v>-69.955561399999993</v>
      </c>
      <c r="AC43" s="21">
        <f t="shared" si="0"/>
        <v>1</v>
      </c>
      <c r="AD43" s="21">
        <f t="shared" si="1"/>
        <v>31</v>
      </c>
      <c r="AE43" s="21">
        <f t="shared" si="2"/>
        <v>31</v>
      </c>
      <c r="AF43" s="21">
        <f t="shared" si="3"/>
        <v>31</v>
      </c>
      <c r="AG43" s="21">
        <f t="shared" si="4"/>
        <v>31</v>
      </c>
      <c r="AH43" s="21">
        <f t="shared" si="5"/>
        <v>30</v>
      </c>
      <c r="AI43" s="21">
        <f t="shared" si="6"/>
        <v>5</v>
      </c>
      <c r="AJ43" s="21" t="str">
        <f t="shared" si="7"/>
        <v>PASS</v>
      </c>
      <c r="AK43" s="21" t="str">
        <f t="shared" si="8"/>
        <v>PASS</v>
      </c>
    </row>
    <row r="44" spans="1:37" x14ac:dyDescent="0.25">
      <c r="A44" t="s">
        <v>28</v>
      </c>
      <c r="B44" s="9" t="s">
        <v>29</v>
      </c>
      <c r="C44" s="9">
        <v>25</v>
      </c>
      <c r="D44" s="9" t="s">
        <v>30</v>
      </c>
      <c r="E44" s="10" t="s">
        <v>31</v>
      </c>
      <c r="F44" s="10" t="s">
        <v>37</v>
      </c>
      <c r="G44" s="1">
        <v>2021</v>
      </c>
      <c r="H44" s="12">
        <v>44317</v>
      </c>
      <c r="I44" s="12">
        <v>44469</v>
      </c>
      <c r="J44" s="1">
        <v>566.78200000000004</v>
      </c>
      <c r="K44" s="1">
        <v>-13983.3</v>
      </c>
      <c r="L44" s="1">
        <v>3.7044579999999998</v>
      </c>
      <c r="M44" s="1">
        <v>-91.393900000000002</v>
      </c>
      <c r="N44" s="1">
        <v>45.378250000000001</v>
      </c>
      <c r="O44" s="1">
        <v>21.346270000000001</v>
      </c>
      <c r="P44" s="1">
        <v>29.408750000000001</v>
      </c>
      <c r="Q44" s="1">
        <v>11.26675</v>
      </c>
      <c r="R44" s="1">
        <v>13</v>
      </c>
      <c r="S44" s="1">
        <v>68</v>
      </c>
      <c r="T44" s="1">
        <v>0.30269600000000002</v>
      </c>
      <c r="U44" s="1">
        <v>2.9995999999999998E-2</v>
      </c>
      <c r="V44" s="1">
        <v>153</v>
      </c>
      <c r="W44" s="1">
        <v>13.45316</v>
      </c>
      <c r="Y44" s="29">
        <v>41.751730000000002</v>
      </c>
      <c r="Z44">
        <v>-69.955561399999993</v>
      </c>
      <c r="AC44" s="21">
        <f t="shared" si="0"/>
        <v>1</v>
      </c>
      <c r="AD44" s="21">
        <f t="shared" si="1"/>
        <v>31</v>
      </c>
      <c r="AE44" s="21">
        <f t="shared" si="2"/>
        <v>31</v>
      </c>
      <c r="AF44" s="21">
        <f t="shared" si="3"/>
        <v>31</v>
      </c>
      <c r="AG44" s="21">
        <f t="shared" si="4"/>
        <v>31</v>
      </c>
      <c r="AH44" s="21">
        <f t="shared" si="5"/>
        <v>30</v>
      </c>
      <c r="AI44" s="21">
        <f t="shared" si="6"/>
        <v>5</v>
      </c>
      <c r="AJ44" s="21" t="str">
        <f t="shared" si="7"/>
        <v>PASS</v>
      </c>
      <c r="AK44" s="21" t="str">
        <f t="shared" si="8"/>
        <v>PASS</v>
      </c>
    </row>
    <row r="45" spans="1:37" x14ac:dyDescent="0.25">
      <c r="A45" t="s">
        <v>28</v>
      </c>
      <c r="B45" s="9" t="s">
        <v>29</v>
      </c>
      <c r="C45" s="9">
        <v>25</v>
      </c>
      <c r="D45" s="9" t="s">
        <v>30</v>
      </c>
      <c r="E45" s="10" t="s">
        <v>31</v>
      </c>
      <c r="F45" s="10" t="s">
        <v>37</v>
      </c>
      <c r="G45" s="1">
        <v>2022</v>
      </c>
      <c r="H45" s="12">
        <v>44682</v>
      </c>
      <c r="I45" s="12">
        <v>44834</v>
      </c>
      <c r="J45" s="1">
        <v>1063.472</v>
      </c>
      <c r="K45" s="1">
        <v>-14041.3</v>
      </c>
      <c r="L45" s="1">
        <v>6.9507989999999999</v>
      </c>
      <c r="M45" s="1">
        <v>-91.772900000000007</v>
      </c>
      <c r="N45" s="1">
        <v>61.854750000000003</v>
      </c>
      <c r="O45" s="1">
        <v>21.46575</v>
      </c>
      <c r="P45" s="1">
        <v>29.34</v>
      </c>
      <c r="Q45" s="1">
        <v>8.7607499999999998</v>
      </c>
      <c r="R45" s="1">
        <v>29</v>
      </c>
      <c r="S45" s="1">
        <v>58</v>
      </c>
      <c r="T45" s="1">
        <v>0.56465500000000002</v>
      </c>
      <c r="U45" s="1">
        <v>0.11941400000000001</v>
      </c>
      <c r="V45" s="1">
        <v>153</v>
      </c>
      <c r="W45" s="1">
        <v>21.40523</v>
      </c>
      <c r="Y45" s="29">
        <v>41.751730000000002</v>
      </c>
      <c r="Z45">
        <v>-69.955561399999993</v>
      </c>
      <c r="AC45" s="21">
        <f t="shared" si="0"/>
        <v>1</v>
      </c>
      <c r="AD45" s="21">
        <f t="shared" si="1"/>
        <v>31</v>
      </c>
      <c r="AE45" s="21">
        <f t="shared" si="2"/>
        <v>31</v>
      </c>
      <c r="AF45" s="21">
        <f t="shared" si="3"/>
        <v>31</v>
      </c>
      <c r="AG45" s="21">
        <f t="shared" si="4"/>
        <v>31</v>
      </c>
      <c r="AH45" s="21">
        <f t="shared" si="5"/>
        <v>30</v>
      </c>
      <c r="AI45" s="21">
        <f t="shared" si="6"/>
        <v>5</v>
      </c>
      <c r="AJ45" s="21" t="str">
        <f t="shared" si="7"/>
        <v>PASS</v>
      </c>
      <c r="AK45" s="21" t="str">
        <f t="shared" si="8"/>
        <v>PASS</v>
      </c>
    </row>
    <row r="46" spans="1:37" x14ac:dyDescent="0.25">
      <c r="A46" t="s">
        <v>28</v>
      </c>
      <c r="B46" s="9" t="s">
        <v>29</v>
      </c>
      <c r="C46" s="9">
        <v>25</v>
      </c>
      <c r="D46" s="9" t="s">
        <v>30</v>
      </c>
      <c r="E46" s="10" t="s">
        <v>31</v>
      </c>
      <c r="F46" s="10" t="s">
        <v>37</v>
      </c>
      <c r="G46" s="1">
        <v>2023</v>
      </c>
      <c r="H46" s="12">
        <v>45047</v>
      </c>
      <c r="I46" s="12">
        <v>45199</v>
      </c>
      <c r="J46" s="1">
        <v>548.25099999999998</v>
      </c>
      <c r="K46" s="1">
        <v>-14640.1</v>
      </c>
      <c r="L46" s="1">
        <v>3.5833400000000002</v>
      </c>
      <c r="M46" s="1">
        <v>-95.686999999999998</v>
      </c>
      <c r="N46" s="1">
        <v>52.631</v>
      </c>
      <c r="O46" s="1">
        <v>21.16235</v>
      </c>
      <c r="P46" s="1">
        <v>28.946750000000002</v>
      </c>
      <c r="Q46" s="1">
        <v>11.06575</v>
      </c>
      <c r="R46" s="1">
        <v>16</v>
      </c>
      <c r="S46" s="1">
        <v>56</v>
      </c>
      <c r="T46" s="1">
        <v>0.37946400000000002</v>
      </c>
      <c r="U46" s="1">
        <v>8.2666000000000003E-2</v>
      </c>
      <c r="V46" s="1">
        <v>153</v>
      </c>
      <c r="W46" s="1">
        <v>13.88889</v>
      </c>
      <c r="Y46" s="29">
        <v>41.751730000000002</v>
      </c>
      <c r="Z46">
        <v>-69.955561399999993</v>
      </c>
      <c r="AC46" s="21">
        <f t="shared" si="0"/>
        <v>1</v>
      </c>
      <c r="AD46" s="21">
        <f t="shared" si="1"/>
        <v>31</v>
      </c>
      <c r="AE46" s="21">
        <f t="shared" si="2"/>
        <v>31</v>
      </c>
      <c r="AF46" s="21">
        <f t="shared" si="3"/>
        <v>31</v>
      </c>
      <c r="AG46" s="21">
        <f t="shared" si="4"/>
        <v>31</v>
      </c>
      <c r="AH46" s="21">
        <f t="shared" si="5"/>
        <v>30</v>
      </c>
      <c r="AI46" s="21">
        <f t="shared" si="6"/>
        <v>5</v>
      </c>
      <c r="AJ46" s="21" t="str">
        <f t="shared" si="7"/>
        <v>PASS</v>
      </c>
      <c r="AK46" s="21" t="str">
        <f t="shared" si="8"/>
        <v>PASS</v>
      </c>
    </row>
    <row r="47" spans="1:37" x14ac:dyDescent="0.25">
      <c r="A47" t="s">
        <v>28</v>
      </c>
      <c r="B47" s="9" t="s">
        <v>29</v>
      </c>
      <c r="C47" s="9">
        <v>25</v>
      </c>
      <c r="D47" s="9" t="s">
        <v>30</v>
      </c>
      <c r="E47" s="10" t="s">
        <v>31</v>
      </c>
      <c r="F47" s="10" t="s">
        <v>37</v>
      </c>
      <c r="G47" s="1">
        <v>2024</v>
      </c>
      <c r="H47" s="12">
        <v>45413</v>
      </c>
      <c r="I47" s="12">
        <v>45565</v>
      </c>
      <c r="J47" s="1">
        <v>668.30150000000003</v>
      </c>
      <c r="K47" s="1">
        <v>-14404.8</v>
      </c>
      <c r="L47" s="1">
        <v>4.3679839999999999</v>
      </c>
      <c r="M47" s="1">
        <v>-94.149199999999993</v>
      </c>
      <c r="N47" s="1">
        <v>59.786749999999998</v>
      </c>
      <c r="O47" s="1">
        <v>21.259119999999999</v>
      </c>
      <c r="P47" s="1">
        <v>28.853750000000002</v>
      </c>
      <c r="Q47" s="1">
        <v>11.53425</v>
      </c>
      <c r="R47" s="1">
        <v>17</v>
      </c>
      <c r="S47" s="1">
        <v>47</v>
      </c>
      <c r="T47" s="1">
        <v>0.46187899999999998</v>
      </c>
      <c r="U47" s="1">
        <v>8.5837999999999998E-2</v>
      </c>
      <c r="V47" s="1">
        <v>153</v>
      </c>
      <c r="W47" s="1">
        <v>14.18845</v>
      </c>
      <c r="Y47" s="29">
        <v>41.751730000000002</v>
      </c>
      <c r="Z47">
        <v>-69.955561399999993</v>
      </c>
      <c r="AC47" s="21">
        <f t="shared" si="0"/>
        <v>1</v>
      </c>
      <c r="AD47" s="21">
        <f t="shared" si="1"/>
        <v>31</v>
      </c>
      <c r="AE47" s="21">
        <f t="shared" si="2"/>
        <v>31</v>
      </c>
      <c r="AF47" s="21">
        <f t="shared" si="3"/>
        <v>31</v>
      </c>
      <c r="AG47" s="21">
        <f t="shared" si="4"/>
        <v>31</v>
      </c>
      <c r="AH47" s="21">
        <f t="shared" si="5"/>
        <v>30</v>
      </c>
      <c r="AI47" s="21">
        <f t="shared" si="6"/>
        <v>5</v>
      </c>
      <c r="AJ47" s="21" t="str">
        <f t="shared" si="7"/>
        <v>PASS</v>
      </c>
      <c r="AK47" s="21" t="str">
        <f t="shared" si="8"/>
        <v>PASS</v>
      </c>
    </row>
    <row r="48" spans="1:37" x14ac:dyDescent="0.25">
      <c r="A48" t="s">
        <v>28</v>
      </c>
      <c r="B48" t="s">
        <v>29</v>
      </c>
      <c r="C48">
        <v>25</v>
      </c>
      <c r="D48" t="s">
        <v>38</v>
      </c>
      <c r="E48" s="1" t="s">
        <v>39</v>
      </c>
      <c r="F48" t="s">
        <v>32</v>
      </c>
      <c r="G48">
        <v>2004</v>
      </c>
      <c r="H48" s="12">
        <v>38108</v>
      </c>
      <c r="I48" s="12">
        <v>38231</v>
      </c>
      <c r="J48">
        <v>4.5199999999999996</v>
      </c>
      <c r="K48">
        <v>-19597.439999999999</v>
      </c>
      <c r="L48">
        <v>3.6451612903225801E-2</v>
      </c>
      <c r="M48">
        <v>-158.04387096774201</v>
      </c>
      <c r="N48">
        <v>4.5199999999999996</v>
      </c>
      <c r="O48">
        <v>18.307247705908502</v>
      </c>
      <c r="P48">
        <v>26.81</v>
      </c>
      <c r="Q48">
        <v>8.4700000000000006</v>
      </c>
      <c r="R48">
        <v>1</v>
      </c>
      <c r="S48">
        <v>2</v>
      </c>
      <c r="T48">
        <v>8.3333333333333301E-2</v>
      </c>
      <c r="U48">
        <v>4.1666666666666699E-2</v>
      </c>
      <c r="V48">
        <v>124</v>
      </c>
      <c r="W48">
        <v>0.13623978201634901</v>
      </c>
      <c r="Y48" s="29">
        <v>41.945900000000002</v>
      </c>
      <c r="Z48" s="29">
        <v>-70.079599999999999</v>
      </c>
      <c r="AC48" s="21">
        <f t="shared" si="0"/>
        <v>0.81045751633986929</v>
      </c>
      <c r="AD48" s="21">
        <f t="shared" si="1"/>
        <v>31</v>
      </c>
      <c r="AE48" s="21">
        <f t="shared" si="2"/>
        <v>31</v>
      </c>
      <c r="AF48" s="21">
        <f t="shared" si="3"/>
        <v>31</v>
      </c>
      <c r="AG48" s="21">
        <f t="shared" si="4"/>
        <v>31</v>
      </c>
      <c r="AH48" s="21">
        <f t="shared" si="5"/>
        <v>1</v>
      </c>
      <c r="AI48" s="21">
        <f t="shared" si="6"/>
        <v>4</v>
      </c>
      <c r="AJ48" s="21" t="str">
        <f t="shared" si="7"/>
        <v>PASS</v>
      </c>
      <c r="AK48" s="21" t="str">
        <f t="shared" si="8"/>
        <v>PASS</v>
      </c>
    </row>
    <row r="49" spans="1:37" x14ac:dyDescent="0.25">
      <c r="A49" t="s">
        <v>28</v>
      </c>
      <c r="B49" t="s">
        <v>29</v>
      </c>
      <c r="C49">
        <v>25</v>
      </c>
      <c r="D49" t="s">
        <v>38</v>
      </c>
      <c r="E49" s="1" t="s">
        <v>39</v>
      </c>
      <c r="F49" t="s">
        <v>32</v>
      </c>
      <c r="G49">
        <v>2005</v>
      </c>
      <c r="H49" s="12">
        <v>38473</v>
      </c>
      <c r="I49" s="12">
        <v>38625</v>
      </c>
      <c r="J49">
        <v>52.234999999999999</v>
      </c>
      <c r="K49">
        <v>-24476.634999999998</v>
      </c>
      <c r="L49">
        <v>0.34140522875816998</v>
      </c>
      <c r="M49">
        <v>-159.978006535948</v>
      </c>
      <c r="N49">
        <v>19.55</v>
      </c>
      <c r="O49">
        <v>18.3455771563676</v>
      </c>
      <c r="P49">
        <v>26.87</v>
      </c>
      <c r="Q49">
        <v>4.9800000000000004</v>
      </c>
      <c r="R49">
        <v>4</v>
      </c>
      <c r="S49">
        <v>12</v>
      </c>
      <c r="T49">
        <v>0.29861111111111099</v>
      </c>
      <c r="U49">
        <v>0.108657408304032</v>
      </c>
      <c r="V49">
        <v>153</v>
      </c>
      <c r="W49">
        <v>2.3433242506812002</v>
      </c>
      <c r="Y49" s="29">
        <v>41.945900000000002</v>
      </c>
      <c r="Z49" s="29">
        <v>-70.079599999999999</v>
      </c>
      <c r="AC49" s="21">
        <f t="shared" si="0"/>
        <v>1</v>
      </c>
      <c r="AD49" s="21">
        <f t="shared" si="1"/>
        <v>31</v>
      </c>
      <c r="AE49" s="21">
        <f t="shared" si="2"/>
        <v>31</v>
      </c>
      <c r="AF49" s="21">
        <f t="shared" si="3"/>
        <v>31</v>
      </c>
      <c r="AG49" s="21">
        <f t="shared" si="4"/>
        <v>31</v>
      </c>
      <c r="AH49" s="21">
        <f t="shared" si="5"/>
        <v>30</v>
      </c>
      <c r="AI49" s="21">
        <f t="shared" si="6"/>
        <v>5</v>
      </c>
      <c r="AJ49" s="21" t="str">
        <f t="shared" si="7"/>
        <v>PASS</v>
      </c>
      <c r="AK49" s="21" t="str">
        <f t="shared" si="8"/>
        <v>PASS</v>
      </c>
    </row>
    <row r="50" spans="1:37" x14ac:dyDescent="0.25">
      <c r="A50" t="s">
        <v>28</v>
      </c>
      <c r="B50" t="s">
        <v>29</v>
      </c>
      <c r="C50">
        <v>25</v>
      </c>
      <c r="D50" t="s">
        <v>38</v>
      </c>
      <c r="E50" s="1" t="s">
        <v>39</v>
      </c>
      <c r="F50" t="s">
        <v>32</v>
      </c>
      <c r="G50">
        <v>2006</v>
      </c>
      <c r="H50" s="12">
        <v>38838</v>
      </c>
      <c r="I50" s="12">
        <v>38990</v>
      </c>
      <c r="J50">
        <v>37.409999999999997</v>
      </c>
      <c r="K50">
        <v>-23690.48</v>
      </c>
      <c r="L50">
        <v>0.24450980392156901</v>
      </c>
      <c r="M50">
        <v>-154.83973856209099</v>
      </c>
      <c r="N50">
        <v>21.03</v>
      </c>
      <c r="O50">
        <v>18.556044584500501</v>
      </c>
      <c r="P50">
        <v>27.195</v>
      </c>
      <c r="Q50">
        <v>7.09</v>
      </c>
      <c r="R50">
        <v>4</v>
      </c>
      <c r="S50">
        <v>8</v>
      </c>
      <c r="T50">
        <v>0.25</v>
      </c>
      <c r="U50">
        <v>0.15002479953724501</v>
      </c>
      <c r="V50">
        <v>153</v>
      </c>
      <c r="W50">
        <v>1.3082583810302499</v>
      </c>
      <c r="Y50" s="29">
        <v>41.945900000000002</v>
      </c>
      <c r="Z50" s="29">
        <v>-70.079599999999999</v>
      </c>
      <c r="AC50" s="21">
        <f t="shared" si="0"/>
        <v>1</v>
      </c>
      <c r="AD50" s="21">
        <f t="shared" si="1"/>
        <v>31</v>
      </c>
      <c r="AE50" s="21">
        <f t="shared" si="2"/>
        <v>31</v>
      </c>
      <c r="AF50" s="21">
        <f t="shared" si="3"/>
        <v>31</v>
      </c>
      <c r="AG50" s="21">
        <f t="shared" si="4"/>
        <v>31</v>
      </c>
      <c r="AH50" s="21">
        <f t="shared" si="5"/>
        <v>30</v>
      </c>
      <c r="AI50" s="21">
        <f t="shared" si="6"/>
        <v>5</v>
      </c>
      <c r="AJ50" s="21" t="str">
        <f t="shared" si="7"/>
        <v>PASS</v>
      </c>
      <c r="AK50" s="21" t="str">
        <f t="shared" si="8"/>
        <v>PASS</v>
      </c>
    </row>
    <row r="51" spans="1:37" x14ac:dyDescent="0.25">
      <c r="A51" t="s">
        <v>28</v>
      </c>
      <c r="B51" t="s">
        <v>29</v>
      </c>
      <c r="C51">
        <v>25</v>
      </c>
      <c r="D51" t="s">
        <v>38</v>
      </c>
      <c r="E51" s="1" t="s">
        <v>39</v>
      </c>
      <c r="F51" t="s">
        <v>32</v>
      </c>
      <c r="G51">
        <v>2007</v>
      </c>
      <c r="H51" s="12">
        <v>39203</v>
      </c>
      <c r="I51" s="12">
        <v>39355</v>
      </c>
      <c r="J51">
        <v>3.6120000000000001</v>
      </c>
      <c r="K51">
        <v>-23482.315500000001</v>
      </c>
      <c r="L51">
        <v>2.3607843137254898E-2</v>
      </c>
      <c r="M51">
        <v>-153.47918627451</v>
      </c>
      <c r="N51">
        <v>1.988</v>
      </c>
      <c r="O51">
        <v>18.603874902738902</v>
      </c>
      <c r="P51">
        <v>25.549499999999998</v>
      </c>
      <c r="Q51">
        <v>6.72</v>
      </c>
      <c r="R51">
        <v>2</v>
      </c>
      <c r="S51">
        <v>3</v>
      </c>
      <c r="T51">
        <v>0.16666666666666699</v>
      </c>
      <c r="U51">
        <v>4.8112522432468802E-2</v>
      </c>
      <c r="V51">
        <v>153</v>
      </c>
      <c r="W51">
        <v>0.32706459525756298</v>
      </c>
      <c r="Y51" s="29">
        <v>41.945900000000002</v>
      </c>
      <c r="Z51" s="29">
        <v>-70.079599999999999</v>
      </c>
      <c r="AC51" s="21">
        <f t="shared" si="0"/>
        <v>1</v>
      </c>
      <c r="AD51" s="21">
        <f t="shared" si="1"/>
        <v>31</v>
      </c>
      <c r="AE51" s="21">
        <f t="shared" si="2"/>
        <v>31</v>
      </c>
      <c r="AF51" s="21">
        <f t="shared" si="3"/>
        <v>31</v>
      </c>
      <c r="AG51" s="21">
        <f t="shared" si="4"/>
        <v>31</v>
      </c>
      <c r="AH51" s="21">
        <f t="shared" si="5"/>
        <v>30</v>
      </c>
      <c r="AI51" s="21">
        <f t="shared" si="6"/>
        <v>5</v>
      </c>
      <c r="AJ51" s="21" t="str">
        <f t="shared" si="7"/>
        <v>PASS</v>
      </c>
      <c r="AK51" s="21" t="str">
        <f t="shared" si="8"/>
        <v>PASS</v>
      </c>
    </row>
    <row r="52" spans="1:37" x14ac:dyDescent="0.25">
      <c r="A52" t="s">
        <v>28</v>
      </c>
      <c r="B52" t="s">
        <v>29</v>
      </c>
      <c r="C52">
        <v>25</v>
      </c>
      <c r="D52" t="s">
        <v>38</v>
      </c>
      <c r="E52" s="1" t="s">
        <v>39</v>
      </c>
      <c r="F52" t="s">
        <v>32</v>
      </c>
      <c r="G52">
        <v>2008</v>
      </c>
      <c r="H52" s="12">
        <v>39569</v>
      </c>
      <c r="I52" s="12">
        <v>39721</v>
      </c>
      <c r="J52">
        <v>8.3969999999999807</v>
      </c>
      <c r="K52">
        <v>-22674.800999999999</v>
      </c>
      <c r="L52">
        <v>5.4882352941176403E-2</v>
      </c>
      <c r="M52">
        <v>-148.20131372549</v>
      </c>
      <c r="N52">
        <v>2.1179999999999999</v>
      </c>
      <c r="O52">
        <v>18.826114088993101</v>
      </c>
      <c r="P52">
        <v>25.670999999999999</v>
      </c>
      <c r="Q52">
        <v>7.4939999999999998</v>
      </c>
      <c r="R52">
        <v>5</v>
      </c>
      <c r="S52">
        <v>9</v>
      </c>
      <c r="T52">
        <v>0.17592592592592601</v>
      </c>
      <c r="U52">
        <v>2.0574524114156501E-2</v>
      </c>
      <c r="V52">
        <v>153</v>
      </c>
      <c r="W52">
        <v>1.0351402887496599</v>
      </c>
      <c r="Y52" s="29">
        <v>41.945900000000002</v>
      </c>
      <c r="Z52" s="29">
        <v>-70.079599999999999</v>
      </c>
      <c r="AC52" s="21">
        <f t="shared" si="0"/>
        <v>1</v>
      </c>
      <c r="AD52" s="21">
        <f t="shared" si="1"/>
        <v>31</v>
      </c>
      <c r="AE52" s="21">
        <f t="shared" si="2"/>
        <v>31</v>
      </c>
      <c r="AF52" s="21">
        <f t="shared" si="3"/>
        <v>31</v>
      </c>
      <c r="AG52" s="21">
        <f t="shared" si="4"/>
        <v>31</v>
      </c>
      <c r="AH52" s="21">
        <f t="shared" si="5"/>
        <v>30</v>
      </c>
      <c r="AI52" s="21">
        <f t="shared" si="6"/>
        <v>5</v>
      </c>
      <c r="AJ52" s="21" t="str">
        <f t="shared" si="7"/>
        <v>PASS</v>
      </c>
      <c r="AK52" s="21" t="str">
        <f t="shared" si="8"/>
        <v>PASS</v>
      </c>
    </row>
    <row r="53" spans="1:37" x14ac:dyDescent="0.25">
      <c r="A53" t="s">
        <v>28</v>
      </c>
      <c r="B53" t="s">
        <v>29</v>
      </c>
      <c r="C53">
        <v>25</v>
      </c>
      <c r="D53" t="s">
        <v>38</v>
      </c>
      <c r="E53" s="1" t="s">
        <v>39</v>
      </c>
      <c r="F53" t="s">
        <v>32</v>
      </c>
      <c r="G53">
        <v>2009</v>
      </c>
      <c r="H53" s="12">
        <v>39934</v>
      </c>
      <c r="I53" s="12">
        <v>40086</v>
      </c>
      <c r="J53">
        <v>43.234499999999997</v>
      </c>
      <c r="K53">
        <v>-25267.235000000001</v>
      </c>
      <c r="L53">
        <v>0.28257843137254901</v>
      </c>
      <c r="M53">
        <v>-165.14532679738599</v>
      </c>
      <c r="N53">
        <v>10.506</v>
      </c>
      <c r="O53">
        <v>18.121398828976002</v>
      </c>
      <c r="P53">
        <v>26.268000000000001</v>
      </c>
      <c r="Q53">
        <v>9.2744999999999997</v>
      </c>
      <c r="R53">
        <v>8</v>
      </c>
      <c r="S53">
        <v>12</v>
      </c>
      <c r="T53">
        <v>0.32291666666666702</v>
      </c>
      <c r="U53">
        <v>6.53043009731306E-2</v>
      </c>
      <c r="V53">
        <v>153</v>
      </c>
      <c r="W53">
        <v>2.5382096069869</v>
      </c>
      <c r="Y53" s="29">
        <v>41.945900000000002</v>
      </c>
      <c r="Z53" s="29">
        <v>-70.079599999999999</v>
      </c>
      <c r="AC53" s="21">
        <f t="shared" si="0"/>
        <v>1</v>
      </c>
      <c r="AD53" s="21">
        <f t="shared" si="1"/>
        <v>31</v>
      </c>
      <c r="AE53" s="21">
        <f t="shared" si="2"/>
        <v>31</v>
      </c>
      <c r="AF53" s="21">
        <f t="shared" si="3"/>
        <v>31</v>
      </c>
      <c r="AG53" s="21">
        <f t="shared" si="4"/>
        <v>31</v>
      </c>
      <c r="AH53" s="21">
        <f t="shared" si="5"/>
        <v>30</v>
      </c>
      <c r="AI53" s="21">
        <f t="shared" si="6"/>
        <v>5</v>
      </c>
      <c r="AJ53" s="21" t="str">
        <f t="shared" si="7"/>
        <v>PASS</v>
      </c>
      <c r="AK53" s="21" t="str">
        <f t="shared" si="8"/>
        <v>PASS</v>
      </c>
    </row>
    <row r="54" spans="1:37" x14ac:dyDescent="0.25">
      <c r="A54" t="s">
        <v>28</v>
      </c>
      <c r="B54" t="s">
        <v>29</v>
      </c>
      <c r="C54">
        <v>25</v>
      </c>
      <c r="D54" t="s">
        <v>38</v>
      </c>
      <c r="E54" s="1" t="s">
        <v>39</v>
      </c>
      <c r="F54" t="s">
        <v>32</v>
      </c>
      <c r="G54">
        <v>2010</v>
      </c>
      <c r="H54" s="12">
        <v>40299</v>
      </c>
      <c r="I54" s="12">
        <v>40451</v>
      </c>
      <c r="J54">
        <v>21.102</v>
      </c>
      <c r="K54">
        <v>-20754.151000000002</v>
      </c>
      <c r="L54">
        <v>0.137921568627451</v>
      </c>
      <c r="M54">
        <v>-135.64804575163399</v>
      </c>
      <c r="N54">
        <v>4.4409999999999998</v>
      </c>
      <c r="O54">
        <v>19.333919156551499</v>
      </c>
      <c r="P54">
        <v>25.683</v>
      </c>
      <c r="Q54">
        <v>9.6445000000000007</v>
      </c>
      <c r="R54">
        <v>4</v>
      </c>
      <c r="S54">
        <v>12</v>
      </c>
      <c r="T54">
        <v>0.26041666666666702</v>
      </c>
      <c r="U54">
        <v>5.6446066821311501E-2</v>
      </c>
      <c r="V54">
        <v>153</v>
      </c>
      <c r="W54">
        <v>2.0587427944002199</v>
      </c>
      <c r="Y54" s="29">
        <v>41.945900000000002</v>
      </c>
      <c r="Z54" s="29">
        <v>-70.079599999999999</v>
      </c>
      <c r="AC54" s="21">
        <f t="shared" si="0"/>
        <v>1</v>
      </c>
      <c r="AD54" s="21">
        <f t="shared" si="1"/>
        <v>31</v>
      </c>
      <c r="AE54" s="21">
        <f t="shared" si="2"/>
        <v>31</v>
      </c>
      <c r="AF54" s="21">
        <f t="shared" si="3"/>
        <v>31</v>
      </c>
      <c r="AG54" s="21">
        <f t="shared" si="4"/>
        <v>31</v>
      </c>
      <c r="AH54" s="21">
        <f t="shared" si="5"/>
        <v>30</v>
      </c>
      <c r="AI54" s="21">
        <f t="shared" si="6"/>
        <v>5</v>
      </c>
      <c r="AJ54" s="21" t="str">
        <f t="shared" si="7"/>
        <v>PASS</v>
      </c>
      <c r="AK54" s="21" t="str">
        <f t="shared" si="8"/>
        <v>PASS</v>
      </c>
    </row>
    <row r="55" spans="1:37" x14ac:dyDescent="0.25">
      <c r="A55" t="s">
        <v>28</v>
      </c>
      <c r="B55" t="s">
        <v>29</v>
      </c>
      <c r="C55">
        <v>25</v>
      </c>
      <c r="D55" t="s">
        <v>38</v>
      </c>
      <c r="E55" s="1" t="s">
        <v>39</v>
      </c>
      <c r="F55" t="s">
        <v>32</v>
      </c>
      <c r="G55">
        <v>2011</v>
      </c>
      <c r="H55" s="12">
        <v>40664</v>
      </c>
      <c r="I55" s="12">
        <v>40816</v>
      </c>
      <c r="J55">
        <v>29.663499999999999</v>
      </c>
      <c r="K55">
        <v>-22680.979500000001</v>
      </c>
      <c r="L55">
        <v>0.19387908496732001</v>
      </c>
      <c r="M55">
        <v>-148.241696078431</v>
      </c>
      <c r="N55">
        <v>5.77200000000001</v>
      </c>
      <c r="O55">
        <v>18.831340958605701</v>
      </c>
      <c r="P55">
        <v>26.805499999999999</v>
      </c>
      <c r="Q55">
        <v>6.9394999999999998</v>
      </c>
      <c r="R55">
        <v>4</v>
      </c>
      <c r="S55">
        <v>14</v>
      </c>
      <c r="T55">
        <v>0.1875</v>
      </c>
      <c r="U55">
        <v>2.6478704554260098E-2</v>
      </c>
      <c r="V55">
        <v>153</v>
      </c>
      <c r="W55">
        <v>1.7156862745098</v>
      </c>
      <c r="Y55" s="29">
        <v>41.945900000000002</v>
      </c>
      <c r="Z55" s="29">
        <v>-70.079599999999999</v>
      </c>
      <c r="AC55" s="21">
        <f t="shared" si="0"/>
        <v>1</v>
      </c>
      <c r="AD55" s="21">
        <f t="shared" si="1"/>
        <v>31</v>
      </c>
      <c r="AE55" s="21">
        <f t="shared" si="2"/>
        <v>31</v>
      </c>
      <c r="AF55" s="21">
        <f t="shared" si="3"/>
        <v>31</v>
      </c>
      <c r="AG55" s="21">
        <f t="shared" si="4"/>
        <v>31</v>
      </c>
      <c r="AH55" s="21">
        <f t="shared" si="5"/>
        <v>30</v>
      </c>
      <c r="AI55" s="21">
        <f t="shared" si="6"/>
        <v>5</v>
      </c>
      <c r="AJ55" s="21" t="str">
        <f t="shared" si="7"/>
        <v>PASS</v>
      </c>
      <c r="AK55" s="21" t="str">
        <f t="shared" si="8"/>
        <v>PASS</v>
      </c>
    </row>
    <row r="56" spans="1:37" x14ac:dyDescent="0.25">
      <c r="A56" t="s">
        <v>28</v>
      </c>
      <c r="B56" t="s">
        <v>29</v>
      </c>
      <c r="C56">
        <v>25</v>
      </c>
      <c r="D56" t="s">
        <v>38</v>
      </c>
      <c r="E56" s="1" t="s">
        <v>39</v>
      </c>
      <c r="F56" t="s">
        <v>32</v>
      </c>
      <c r="G56">
        <v>2012</v>
      </c>
      <c r="H56" s="12">
        <v>41030</v>
      </c>
      <c r="I56" s="12">
        <v>41182</v>
      </c>
      <c r="J56">
        <v>247.01650000000001</v>
      </c>
      <c r="K56">
        <v>-19621.844499999999</v>
      </c>
      <c r="L56">
        <v>1.6144869281045799</v>
      </c>
      <c r="M56">
        <v>-128.24734967320299</v>
      </c>
      <c r="N56">
        <v>28.135999999999999</v>
      </c>
      <c r="O56">
        <v>19.707183578431401</v>
      </c>
      <c r="P56">
        <v>27.567</v>
      </c>
      <c r="Q56">
        <v>9.4474999999999998</v>
      </c>
      <c r="R56">
        <v>9</v>
      </c>
      <c r="S56">
        <v>21</v>
      </c>
      <c r="T56">
        <v>0.62698412698412698</v>
      </c>
      <c r="U56">
        <v>0.15054673811734601</v>
      </c>
      <c r="V56">
        <v>153</v>
      </c>
      <c r="W56">
        <v>8.6150490730643394</v>
      </c>
      <c r="Y56" s="29">
        <v>41.945900000000002</v>
      </c>
      <c r="Z56" s="29">
        <v>-70.079599999999999</v>
      </c>
      <c r="AC56" s="21">
        <f t="shared" si="0"/>
        <v>1</v>
      </c>
      <c r="AD56" s="21">
        <f t="shared" si="1"/>
        <v>31</v>
      </c>
      <c r="AE56" s="21">
        <f t="shared" si="2"/>
        <v>31</v>
      </c>
      <c r="AF56" s="21">
        <f t="shared" si="3"/>
        <v>31</v>
      </c>
      <c r="AG56" s="21">
        <f t="shared" si="4"/>
        <v>31</v>
      </c>
      <c r="AH56" s="21">
        <f t="shared" si="5"/>
        <v>30</v>
      </c>
      <c r="AI56" s="21">
        <f t="shared" si="6"/>
        <v>5</v>
      </c>
      <c r="AJ56" s="21" t="str">
        <f t="shared" si="7"/>
        <v>PASS</v>
      </c>
      <c r="AK56" s="21" t="str">
        <f t="shared" si="8"/>
        <v>PASS</v>
      </c>
    </row>
    <row r="57" spans="1:37" x14ac:dyDescent="0.25">
      <c r="A57" t="s">
        <v>28</v>
      </c>
      <c r="B57" t="s">
        <v>29</v>
      </c>
      <c r="C57">
        <v>25</v>
      </c>
      <c r="D57" t="s">
        <v>38</v>
      </c>
      <c r="E57" s="1" t="s">
        <v>39</v>
      </c>
      <c r="F57" t="s">
        <v>32</v>
      </c>
      <c r="G57">
        <v>2013</v>
      </c>
      <c r="H57" s="12">
        <v>41395</v>
      </c>
      <c r="I57" s="12">
        <v>41547</v>
      </c>
      <c r="J57">
        <v>245.91499999999999</v>
      </c>
      <c r="K57">
        <v>-20824.027999999998</v>
      </c>
      <c r="L57">
        <v>1.6072875816993499</v>
      </c>
      <c r="M57">
        <v>-136.104758169935</v>
      </c>
      <c r="N57">
        <v>43.5715</v>
      </c>
      <c r="O57">
        <v>19.3671380390035</v>
      </c>
      <c r="P57">
        <v>28.904</v>
      </c>
      <c r="Q57">
        <v>9.1385000000000005</v>
      </c>
      <c r="R57">
        <v>10</v>
      </c>
      <c r="S57">
        <v>30</v>
      </c>
      <c r="T57">
        <v>0.34861111111111098</v>
      </c>
      <c r="U57">
        <v>8.8252405758594804E-2</v>
      </c>
      <c r="V57">
        <v>153</v>
      </c>
      <c r="W57">
        <v>6.8785968758563998</v>
      </c>
      <c r="Y57" s="29">
        <v>41.945900000000002</v>
      </c>
      <c r="Z57" s="29">
        <v>-70.079599999999999</v>
      </c>
      <c r="AC57" s="21">
        <f t="shared" si="0"/>
        <v>1</v>
      </c>
      <c r="AD57" s="21">
        <f t="shared" si="1"/>
        <v>31</v>
      </c>
      <c r="AE57" s="21">
        <f t="shared" si="2"/>
        <v>31</v>
      </c>
      <c r="AF57" s="21">
        <f t="shared" si="3"/>
        <v>31</v>
      </c>
      <c r="AG57" s="21">
        <f t="shared" si="4"/>
        <v>31</v>
      </c>
      <c r="AH57" s="21">
        <f t="shared" si="5"/>
        <v>30</v>
      </c>
      <c r="AI57" s="21">
        <f t="shared" si="6"/>
        <v>5</v>
      </c>
      <c r="AJ57" s="21" t="str">
        <f t="shared" si="7"/>
        <v>PASS</v>
      </c>
      <c r="AK57" s="21" t="str">
        <f t="shared" si="8"/>
        <v>PASS</v>
      </c>
    </row>
    <row r="58" spans="1:37" x14ac:dyDescent="0.25">
      <c r="A58" t="s">
        <v>28</v>
      </c>
      <c r="B58" t="s">
        <v>29</v>
      </c>
      <c r="C58">
        <v>25</v>
      </c>
      <c r="D58" t="s">
        <v>38</v>
      </c>
      <c r="E58" s="1" t="s">
        <v>39</v>
      </c>
      <c r="F58" t="s">
        <v>32</v>
      </c>
      <c r="G58">
        <v>2014</v>
      </c>
      <c r="H58" s="12">
        <v>41760</v>
      </c>
      <c r="I58" s="12">
        <v>41912</v>
      </c>
      <c r="J58">
        <v>1.92099999999999</v>
      </c>
      <c r="K58">
        <v>-22974.039000000001</v>
      </c>
      <c r="L58">
        <v>1.25555555555555E-2</v>
      </c>
      <c r="M58">
        <v>-150.15711764705901</v>
      </c>
      <c r="N58">
        <v>0.97924999999999696</v>
      </c>
      <c r="O58">
        <v>18.743976579520702</v>
      </c>
      <c r="P58">
        <v>25.331</v>
      </c>
      <c r="Q58">
        <v>7.28</v>
      </c>
      <c r="R58">
        <v>2</v>
      </c>
      <c r="S58">
        <v>5</v>
      </c>
      <c r="T58">
        <v>0.1</v>
      </c>
      <c r="U58">
        <v>2.8259708263021901E-2</v>
      </c>
      <c r="V58">
        <v>153</v>
      </c>
      <c r="W58">
        <v>0.32679738562091498</v>
      </c>
      <c r="Y58" s="29">
        <v>41.945900000000002</v>
      </c>
      <c r="Z58" s="29">
        <v>-70.079599999999999</v>
      </c>
      <c r="AC58" s="21">
        <f t="shared" si="0"/>
        <v>1</v>
      </c>
      <c r="AD58" s="21">
        <f t="shared" si="1"/>
        <v>31</v>
      </c>
      <c r="AE58" s="21">
        <f t="shared" si="2"/>
        <v>31</v>
      </c>
      <c r="AF58" s="21">
        <f t="shared" si="3"/>
        <v>31</v>
      </c>
      <c r="AG58" s="21">
        <f t="shared" si="4"/>
        <v>31</v>
      </c>
      <c r="AH58" s="21">
        <f t="shared" si="5"/>
        <v>30</v>
      </c>
      <c r="AI58" s="21">
        <f t="shared" si="6"/>
        <v>5</v>
      </c>
      <c r="AJ58" s="21" t="str">
        <f t="shared" si="7"/>
        <v>PASS</v>
      </c>
      <c r="AK58" s="21" t="str">
        <f t="shared" si="8"/>
        <v>PASS</v>
      </c>
    </row>
    <row r="59" spans="1:37" x14ac:dyDescent="0.25">
      <c r="A59" t="s">
        <v>28</v>
      </c>
      <c r="B59" t="s">
        <v>29</v>
      </c>
      <c r="C59">
        <v>25</v>
      </c>
      <c r="D59" t="s">
        <v>38</v>
      </c>
      <c r="E59" s="1" t="s">
        <v>39</v>
      </c>
      <c r="F59" t="s">
        <v>32</v>
      </c>
      <c r="G59">
        <v>2015</v>
      </c>
      <c r="H59" s="12">
        <v>42125</v>
      </c>
      <c r="I59" s="12">
        <v>42277</v>
      </c>
      <c r="J59">
        <v>212.73949999999999</v>
      </c>
      <c r="K59">
        <v>-20289.5604166667</v>
      </c>
      <c r="L59">
        <v>1.3904542483660101</v>
      </c>
      <c r="M59">
        <v>-132.61150599128499</v>
      </c>
      <c r="N59">
        <v>27.116</v>
      </c>
      <c r="O59">
        <v>19.5324561773784</v>
      </c>
      <c r="P59">
        <v>27.573</v>
      </c>
      <c r="Q59">
        <v>6.35025</v>
      </c>
      <c r="R59">
        <v>11</v>
      </c>
      <c r="S59">
        <v>28</v>
      </c>
      <c r="T59">
        <v>0.38690476190476197</v>
      </c>
      <c r="U59">
        <v>7.6007862338801399E-2</v>
      </c>
      <c r="V59">
        <v>153</v>
      </c>
      <c r="W59">
        <v>7.08061002178649</v>
      </c>
      <c r="Y59" s="29">
        <v>41.945900000000002</v>
      </c>
      <c r="Z59" s="29">
        <v>-70.079599999999999</v>
      </c>
      <c r="AC59" s="21">
        <f t="shared" si="0"/>
        <v>1</v>
      </c>
      <c r="AD59" s="21">
        <f t="shared" si="1"/>
        <v>31</v>
      </c>
      <c r="AE59" s="21">
        <f t="shared" si="2"/>
        <v>31</v>
      </c>
      <c r="AF59" s="21">
        <f t="shared" si="3"/>
        <v>31</v>
      </c>
      <c r="AG59" s="21">
        <f t="shared" si="4"/>
        <v>31</v>
      </c>
      <c r="AH59" s="21">
        <f t="shared" si="5"/>
        <v>30</v>
      </c>
      <c r="AI59" s="21">
        <f t="shared" si="6"/>
        <v>5</v>
      </c>
      <c r="AJ59" s="21" t="str">
        <f t="shared" si="7"/>
        <v>PASS</v>
      </c>
      <c r="AK59" s="21" t="str">
        <f t="shared" si="8"/>
        <v>PASS</v>
      </c>
    </row>
    <row r="60" spans="1:37" x14ac:dyDescent="0.25">
      <c r="A60" t="s">
        <v>28</v>
      </c>
      <c r="B60" t="s">
        <v>29</v>
      </c>
      <c r="C60">
        <v>25</v>
      </c>
      <c r="D60" t="s">
        <v>38</v>
      </c>
      <c r="E60" s="1" t="s">
        <v>39</v>
      </c>
      <c r="F60" t="s">
        <v>32</v>
      </c>
      <c r="G60">
        <v>2016</v>
      </c>
      <c r="H60" s="12">
        <v>42491</v>
      </c>
      <c r="I60" s="12">
        <v>42643</v>
      </c>
      <c r="J60">
        <v>265.38724999999999</v>
      </c>
      <c r="K60">
        <v>-19818.929333333301</v>
      </c>
      <c r="L60">
        <v>1.7345571895424801</v>
      </c>
      <c r="M60">
        <v>-129.53548583878</v>
      </c>
      <c r="N60">
        <v>35.137749999999997</v>
      </c>
      <c r="O60">
        <v>19.674961306281801</v>
      </c>
      <c r="P60">
        <v>27.825500000000002</v>
      </c>
      <c r="Q60">
        <v>7.343</v>
      </c>
      <c r="R60">
        <v>8</v>
      </c>
      <c r="S60">
        <v>29</v>
      </c>
      <c r="T60">
        <v>0.37356321839080497</v>
      </c>
      <c r="U60">
        <v>8.1582667003503695E-2</v>
      </c>
      <c r="V60">
        <v>153</v>
      </c>
      <c r="W60">
        <v>7.08061002178649</v>
      </c>
      <c r="Y60" s="29">
        <v>41.945900000000002</v>
      </c>
      <c r="Z60" s="29">
        <v>-70.079599999999999</v>
      </c>
      <c r="AC60" s="21">
        <f t="shared" ref="AC60:AC109" si="9">V60/153</f>
        <v>1</v>
      </c>
      <c r="AD60" s="21">
        <f t="shared" ref="AD60:AD109" si="10">MAX(0, MIN(I60, DATE(YEAR(H60),5,31)) - MAX(H60, DATE(YEAR(H60),5,1)) + 1)</f>
        <v>31</v>
      </c>
      <c r="AE60" s="21">
        <f t="shared" ref="AE60:AE109" si="11">MAX(0, MIN(I60, DATE(YEAR(H60),6,31)) - MAX(H60, DATE(YEAR(H60),6,1)) + 1)</f>
        <v>31</v>
      </c>
      <c r="AF60" s="21">
        <f t="shared" ref="AF60:AF109" si="12">MAX(0, MIN(I60, DATE(YEAR(H60),7,31)) - MAX(H60, DATE(YEAR(H60),7,1)) + 1)</f>
        <v>31</v>
      </c>
      <c r="AG60" s="21">
        <f t="shared" ref="AG60:AG109" si="13">MAX(0, MIN(I60, DATE(YEAR(H60),8,31)) - MAX(H60, DATE(YEAR(H60),8,1)) + 1)</f>
        <v>31</v>
      </c>
      <c r="AH60" s="21">
        <f t="shared" ref="AH60:AH109" si="14">MAX(0, MIN(I60, DATE(YEAR(H60),9,31)) - MAX(H60, DATE(YEAR(H60),9,1)) + 1)</f>
        <v>30</v>
      </c>
      <c r="AI60" s="21">
        <f t="shared" ref="AI60:AI109" si="15">COUNTIF(AD60:AH60, "&gt;=10")</f>
        <v>5</v>
      </c>
      <c r="AJ60" s="21" t="str">
        <f t="shared" ref="AJ60:AJ109" si="16">IF(COUNTIF(AD60:AH60,"&gt;=10")&gt;=3,"PASS","FAIL")</f>
        <v>PASS</v>
      </c>
      <c r="AK60" s="21" t="str">
        <f t="shared" ref="AK60:AK109" si="17">IF(AND(AC60&gt;=0.8, COUNTIF(AD60:AH60, "&gt;=10")&gt;=3), "PASS", "FAIL")</f>
        <v>PASS</v>
      </c>
    </row>
    <row r="61" spans="1:37" x14ac:dyDescent="0.25">
      <c r="A61" t="s">
        <v>28</v>
      </c>
      <c r="B61" t="s">
        <v>29</v>
      </c>
      <c r="C61">
        <v>25</v>
      </c>
      <c r="D61" t="s">
        <v>38</v>
      </c>
      <c r="E61" s="1" t="s">
        <v>39</v>
      </c>
      <c r="F61" t="s">
        <v>32</v>
      </c>
      <c r="G61">
        <v>2017</v>
      </c>
      <c r="H61" s="12">
        <v>42856</v>
      </c>
      <c r="I61" s="12">
        <v>43008</v>
      </c>
      <c r="J61">
        <v>19.379249999999999</v>
      </c>
      <c r="K61">
        <v>-24486.441750000002</v>
      </c>
      <c r="L61">
        <v>0.126661764705882</v>
      </c>
      <c r="M61">
        <v>-160.04210294117601</v>
      </c>
      <c r="N61">
        <v>5.3497500000000002</v>
      </c>
      <c r="O61">
        <v>18.336856617647101</v>
      </c>
      <c r="P61">
        <v>26.5365</v>
      </c>
      <c r="Q61">
        <v>7.4690000000000003</v>
      </c>
      <c r="R61">
        <v>3</v>
      </c>
      <c r="S61">
        <v>11</v>
      </c>
      <c r="T61">
        <v>0.12878787878787901</v>
      </c>
      <c r="U61">
        <v>1.53397399479671E-2</v>
      </c>
      <c r="V61">
        <v>153</v>
      </c>
      <c r="W61">
        <v>0.92592592592592604</v>
      </c>
      <c r="Y61" s="29">
        <v>41.945900000000002</v>
      </c>
      <c r="Z61" s="29">
        <v>-70.079599999999999</v>
      </c>
      <c r="AC61" s="21">
        <f t="shared" si="9"/>
        <v>1</v>
      </c>
      <c r="AD61" s="21">
        <f t="shared" si="10"/>
        <v>31</v>
      </c>
      <c r="AE61" s="21">
        <f t="shared" si="11"/>
        <v>31</v>
      </c>
      <c r="AF61" s="21">
        <f t="shared" si="12"/>
        <v>31</v>
      </c>
      <c r="AG61" s="21">
        <f t="shared" si="13"/>
        <v>31</v>
      </c>
      <c r="AH61" s="21">
        <f t="shared" si="14"/>
        <v>30</v>
      </c>
      <c r="AI61" s="21">
        <f t="shared" si="15"/>
        <v>5</v>
      </c>
      <c r="AJ61" s="21" t="str">
        <f t="shared" si="16"/>
        <v>PASS</v>
      </c>
      <c r="AK61" s="21" t="str">
        <f t="shared" si="17"/>
        <v>PASS</v>
      </c>
    </row>
    <row r="62" spans="1:37" x14ac:dyDescent="0.25">
      <c r="A62" t="s">
        <v>28</v>
      </c>
      <c r="B62" t="s">
        <v>29</v>
      </c>
      <c r="C62">
        <v>25</v>
      </c>
      <c r="D62" t="s">
        <v>38</v>
      </c>
      <c r="E62" s="1" t="s">
        <v>39</v>
      </c>
      <c r="F62" t="s">
        <v>32</v>
      </c>
      <c r="G62">
        <v>2018</v>
      </c>
      <c r="H62" s="12">
        <v>43221</v>
      </c>
      <c r="I62" s="12">
        <v>43373</v>
      </c>
      <c r="J62">
        <v>75.608249999999998</v>
      </c>
      <c r="K62">
        <v>-21959.9215</v>
      </c>
      <c r="L62">
        <v>0.49417156862745099</v>
      </c>
      <c r="M62">
        <v>-143.52889869281</v>
      </c>
      <c r="N62">
        <v>12.748749999999999</v>
      </c>
      <c r="O62">
        <v>19.040219703159</v>
      </c>
      <c r="P62">
        <v>27.167000000000002</v>
      </c>
      <c r="Q62">
        <v>7.6444999999999999</v>
      </c>
      <c r="R62">
        <v>5</v>
      </c>
      <c r="S62">
        <v>24</v>
      </c>
      <c r="T62">
        <v>0.22222222222222199</v>
      </c>
      <c r="U62">
        <v>3.2281357114851902E-2</v>
      </c>
      <c r="V62">
        <v>153</v>
      </c>
      <c r="W62">
        <v>3.4858387799564299</v>
      </c>
      <c r="Y62" s="29">
        <v>41.945900000000002</v>
      </c>
      <c r="Z62" s="29">
        <v>-70.079599999999999</v>
      </c>
      <c r="AC62" s="21">
        <f t="shared" si="9"/>
        <v>1</v>
      </c>
      <c r="AD62" s="21">
        <f t="shared" si="10"/>
        <v>31</v>
      </c>
      <c r="AE62" s="21">
        <f t="shared" si="11"/>
        <v>31</v>
      </c>
      <c r="AF62" s="21">
        <f t="shared" si="12"/>
        <v>31</v>
      </c>
      <c r="AG62" s="21">
        <f t="shared" si="13"/>
        <v>31</v>
      </c>
      <c r="AH62" s="21">
        <f t="shared" si="14"/>
        <v>30</v>
      </c>
      <c r="AI62" s="21">
        <f t="shared" si="15"/>
        <v>5</v>
      </c>
      <c r="AJ62" s="21" t="str">
        <f t="shared" si="16"/>
        <v>PASS</v>
      </c>
      <c r="AK62" s="21" t="str">
        <f t="shared" si="17"/>
        <v>PASS</v>
      </c>
    </row>
    <row r="63" spans="1:37" x14ac:dyDescent="0.25">
      <c r="A63" t="s">
        <v>28</v>
      </c>
      <c r="B63" t="s">
        <v>29</v>
      </c>
      <c r="C63">
        <v>25</v>
      </c>
      <c r="D63" t="s">
        <v>38</v>
      </c>
      <c r="E63" s="1" t="s">
        <v>39</v>
      </c>
      <c r="F63" t="s">
        <v>32</v>
      </c>
      <c r="G63">
        <v>2019</v>
      </c>
      <c r="H63" s="12">
        <v>43586</v>
      </c>
      <c r="I63" s="12">
        <v>43738</v>
      </c>
      <c r="J63">
        <v>88.751999999999995</v>
      </c>
      <c r="K63">
        <v>-23655.373833333299</v>
      </c>
      <c r="L63">
        <v>0.580078431372549</v>
      </c>
      <c r="M63">
        <v>-154.610286492375</v>
      </c>
      <c r="N63">
        <v>18.034749999999999</v>
      </c>
      <c r="O63">
        <v>18.582074664124899</v>
      </c>
      <c r="P63">
        <v>26.731999999999999</v>
      </c>
      <c r="Q63">
        <v>7.6449999999999996</v>
      </c>
      <c r="R63">
        <v>8</v>
      </c>
      <c r="S63">
        <v>18</v>
      </c>
      <c r="T63">
        <v>0.35648148148148201</v>
      </c>
      <c r="U63">
        <v>0.14172841720247101</v>
      </c>
      <c r="V63">
        <v>153</v>
      </c>
      <c r="W63">
        <v>4.1938997821350803</v>
      </c>
      <c r="Y63" s="29">
        <v>41.945900000000002</v>
      </c>
      <c r="Z63" s="29">
        <v>-70.079599999999999</v>
      </c>
      <c r="AC63" s="21">
        <f t="shared" si="9"/>
        <v>1</v>
      </c>
      <c r="AD63" s="21">
        <f t="shared" si="10"/>
        <v>31</v>
      </c>
      <c r="AE63" s="21">
        <f t="shared" si="11"/>
        <v>31</v>
      </c>
      <c r="AF63" s="21">
        <f t="shared" si="12"/>
        <v>31</v>
      </c>
      <c r="AG63" s="21">
        <f t="shared" si="13"/>
        <v>31</v>
      </c>
      <c r="AH63" s="21">
        <f t="shared" si="14"/>
        <v>30</v>
      </c>
      <c r="AI63" s="21">
        <f t="shared" si="15"/>
        <v>5</v>
      </c>
      <c r="AJ63" s="21" t="str">
        <f t="shared" si="16"/>
        <v>PASS</v>
      </c>
      <c r="AK63" s="21" t="str">
        <f t="shared" si="17"/>
        <v>PASS</v>
      </c>
    </row>
    <row r="64" spans="1:37" x14ac:dyDescent="0.25">
      <c r="A64" t="s">
        <v>28</v>
      </c>
      <c r="B64" t="s">
        <v>29</v>
      </c>
      <c r="C64">
        <v>25</v>
      </c>
      <c r="D64" t="s">
        <v>38</v>
      </c>
      <c r="E64" s="1" t="s">
        <v>39</v>
      </c>
      <c r="F64" t="s">
        <v>32</v>
      </c>
      <c r="G64">
        <v>2020</v>
      </c>
      <c r="H64" s="12">
        <v>43952</v>
      </c>
      <c r="I64" s="12">
        <v>44104</v>
      </c>
      <c r="J64">
        <v>526.53224999999998</v>
      </c>
      <c r="K64">
        <v>-21885.815500000001</v>
      </c>
      <c r="L64">
        <v>3.4413872549019602</v>
      </c>
      <c r="M64">
        <v>-143.04454575163399</v>
      </c>
      <c r="N64">
        <v>50.895499999999998</v>
      </c>
      <c r="O64">
        <v>19.183201729302802</v>
      </c>
      <c r="P64">
        <v>29.027750000000001</v>
      </c>
      <c r="Q64">
        <v>7.5752499999999996</v>
      </c>
      <c r="R64">
        <v>15</v>
      </c>
      <c r="S64">
        <v>30</v>
      </c>
      <c r="T64">
        <v>0.61388888888888904</v>
      </c>
      <c r="U64">
        <v>0.19980567400561</v>
      </c>
      <c r="V64">
        <v>153</v>
      </c>
      <c r="W64">
        <v>12.037037037037001</v>
      </c>
      <c r="Y64" s="29">
        <v>41.945900000000002</v>
      </c>
      <c r="Z64" s="29">
        <v>-70.079599999999999</v>
      </c>
      <c r="AC64" s="21">
        <f t="shared" si="9"/>
        <v>1</v>
      </c>
      <c r="AD64" s="21">
        <f t="shared" si="10"/>
        <v>31</v>
      </c>
      <c r="AE64" s="21">
        <f t="shared" si="11"/>
        <v>31</v>
      </c>
      <c r="AF64" s="21">
        <f t="shared" si="12"/>
        <v>31</v>
      </c>
      <c r="AG64" s="21">
        <f t="shared" si="13"/>
        <v>31</v>
      </c>
      <c r="AH64" s="21">
        <f t="shared" si="14"/>
        <v>30</v>
      </c>
      <c r="AI64" s="21">
        <f t="shared" si="15"/>
        <v>5</v>
      </c>
      <c r="AJ64" s="21" t="str">
        <f t="shared" si="16"/>
        <v>PASS</v>
      </c>
      <c r="AK64" s="21" t="str">
        <f t="shared" si="17"/>
        <v>PASS</v>
      </c>
    </row>
    <row r="65" spans="1:37" x14ac:dyDescent="0.25">
      <c r="A65" t="s">
        <v>28</v>
      </c>
      <c r="B65" t="s">
        <v>29</v>
      </c>
      <c r="C65">
        <v>25</v>
      </c>
      <c r="D65" t="s">
        <v>38</v>
      </c>
      <c r="E65" s="1" t="s">
        <v>39</v>
      </c>
      <c r="F65" t="s">
        <v>32</v>
      </c>
      <c r="G65">
        <v>2021</v>
      </c>
      <c r="H65" s="12">
        <v>44317</v>
      </c>
      <c r="I65" s="12">
        <v>44469</v>
      </c>
      <c r="J65">
        <v>185.66225</v>
      </c>
      <c r="K65">
        <v>-18760.329249999999</v>
      </c>
      <c r="L65">
        <v>1.21347875816993</v>
      </c>
      <c r="M65">
        <v>-122.616531045752</v>
      </c>
      <c r="N65">
        <v>26.871749999999999</v>
      </c>
      <c r="O65">
        <v>19.941539488017401</v>
      </c>
      <c r="P65">
        <v>27.763500000000001</v>
      </c>
      <c r="Q65">
        <v>7.5190000000000001</v>
      </c>
      <c r="R65">
        <v>12</v>
      </c>
      <c r="S65">
        <v>28</v>
      </c>
      <c r="T65">
        <v>0.37202380952380998</v>
      </c>
      <c r="U65">
        <v>8.2081888909432701E-2</v>
      </c>
      <c r="V65">
        <v>153</v>
      </c>
      <c r="W65">
        <v>6.8082788671024002</v>
      </c>
      <c r="Y65" s="29">
        <v>41.945900000000002</v>
      </c>
      <c r="Z65" s="29">
        <v>-70.079599999999999</v>
      </c>
      <c r="AC65" s="21">
        <f t="shared" si="9"/>
        <v>1</v>
      </c>
      <c r="AD65" s="21">
        <f t="shared" si="10"/>
        <v>31</v>
      </c>
      <c r="AE65" s="21">
        <f t="shared" si="11"/>
        <v>31</v>
      </c>
      <c r="AF65" s="21">
        <f t="shared" si="12"/>
        <v>31</v>
      </c>
      <c r="AG65" s="21">
        <f t="shared" si="13"/>
        <v>31</v>
      </c>
      <c r="AH65" s="21">
        <f t="shared" si="14"/>
        <v>30</v>
      </c>
      <c r="AI65" s="21">
        <f t="shared" si="15"/>
        <v>5</v>
      </c>
      <c r="AJ65" s="21" t="str">
        <f t="shared" si="16"/>
        <v>PASS</v>
      </c>
      <c r="AK65" s="21" t="str">
        <f t="shared" si="17"/>
        <v>PASS</v>
      </c>
    </row>
    <row r="66" spans="1:37" x14ac:dyDescent="0.25">
      <c r="A66" t="s">
        <v>28</v>
      </c>
      <c r="B66" t="s">
        <v>29</v>
      </c>
      <c r="C66">
        <v>25</v>
      </c>
      <c r="D66" t="s">
        <v>38</v>
      </c>
      <c r="E66" s="1" t="s">
        <v>39</v>
      </c>
      <c r="F66" t="s">
        <v>32</v>
      </c>
      <c r="G66">
        <v>2022</v>
      </c>
      <c r="H66" s="12">
        <v>44682</v>
      </c>
      <c r="I66" s="12">
        <v>44834</v>
      </c>
      <c r="J66">
        <v>500.83049999999997</v>
      </c>
      <c r="K66">
        <v>-18360.289916666701</v>
      </c>
      <c r="L66">
        <v>3.2734019607843101</v>
      </c>
      <c r="M66">
        <v>-120.00189488017401</v>
      </c>
      <c r="N66">
        <v>55.746499999999997</v>
      </c>
      <c r="O66">
        <v>20.1363127950254</v>
      </c>
      <c r="P66">
        <v>29.16525</v>
      </c>
      <c r="Q66">
        <v>7.82</v>
      </c>
      <c r="R66">
        <v>14</v>
      </c>
      <c r="S66">
        <v>30</v>
      </c>
      <c r="T66">
        <v>0.58750000000000002</v>
      </c>
      <c r="U66">
        <v>0.184999288079815</v>
      </c>
      <c r="V66">
        <v>153</v>
      </c>
      <c r="W66">
        <v>11.519607843137299</v>
      </c>
      <c r="Y66" s="29">
        <v>41.945900000000002</v>
      </c>
      <c r="Z66" s="29">
        <v>-70.079599999999999</v>
      </c>
      <c r="AC66" s="21">
        <f t="shared" si="9"/>
        <v>1</v>
      </c>
      <c r="AD66" s="21">
        <f t="shared" si="10"/>
        <v>31</v>
      </c>
      <c r="AE66" s="21">
        <f t="shared" si="11"/>
        <v>31</v>
      </c>
      <c r="AF66" s="21">
        <f t="shared" si="12"/>
        <v>31</v>
      </c>
      <c r="AG66" s="21">
        <f t="shared" si="13"/>
        <v>31</v>
      </c>
      <c r="AH66" s="21">
        <f t="shared" si="14"/>
        <v>30</v>
      </c>
      <c r="AI66" s="21">
        <f t="shared" si="15"/>
        <v>5</v>
      </c>
      <c r="AJ66" s="21" t="str">
        <f t="shared" si="16"/>
        <v>PASS</v>
      </c>
      <c r="AK66" s="21" t="str">
        <f t="shared" si="17"/>
        <v>PASS</v>
      </c>
    </row>
    <row r="67" spans="1:37" x14ac:dyDescent="0.25">
      <c r="A67" t="s">
        <v>28</v>
      </c>
      <c r="B67" t="s">
        <v>29</v>
      </c>
      <c r="C67">
        <v>25</v>
      </c>
      <c r="D67" t="s">
        <v>38</v>
      </c>
      <c r="E67" s="1" t="s">
        <v>39</v>
      </c>
      <c r="F67" t="s">
        <v>32</v>
      </c>
      <c r="G67">
        <v>2023</v>
      </c>
      <c r="H67" s="12">
        <v>45047</v>
      </c>
      <c r="I67" s="12">
        <v>45199</v>
      </c>
      <c r="J67">
        <v>86.929000000000002</v>
      </c>
      <c r="K67">
        <v>-20896.312249999999</v>
      </c>
      <c r="L67">
        <v>0.56816339869280996</v>
      </c>
      <c r="M67">
        <v>-136.577204248366</v>
      </c>
      <c r="N67">
        <v>14.426500000000001</v>
      </c>
      <c r="O67">
        <v>19.332956631263599</v>
      </c>
      <c r="P67">
        <v>27.2715</v>
      </c>
      <c r="Q67">
        <v>7.9262499999999996</v>
      </c>
      <c r="R67">
        <v>5</v>
      </c>
      <c r="S67">
        <v>29</v>
      </c>
      <c r="T67">
        <v>0.21839080459770099</v>
      </c>
      <c r="U67">
        <v>3.0013165643142201E-2</v>
      </c>
      <c r="V67">
        <v>153</v>
      </c>
      <c r="W67">
        <v>4.1394335511982598</v>
      </c>
      <c r="Y67" s="29">
        <v>41.945900000000002</v>
      </c>
      <c r="Z67" s="29">
        <v>-70.079599999999999</v>
      </c>
      <c r="AC67" s="21">
        <f t="shared" si="9"/>
        <v>1</v>
      </c>
      <c r="AD67" s="21">
        <f t="shared" si="10"/>
        <v>31</v>
      </c>
      <c r="AE67" s="21">
        <f t="shared" si="11"/>
        <v>31</v>
      </c>
      <c r="AF67" s="21">
        <f t="shared" si="12"/>
        <v>31</v>
      </c>
      <c r="AG67" s="21">
        <f t="shared" si="13"/>
        <v>31</v>
      </c>
      <c r="AH67" s="21">
        <f t="shared" si="14"/>
        <v>30</v>
      </c>
      <c r="AI67" s="21">
        <f t="shared" si="15"/>
        <v>5</v>
      </c>
      <c r="AJ67" s="21" t="str">
        <f t="shared" si="16"/>
        <v>PASS</v>
      </c>
      <c r="AK67" s="21" t="str">
        <f t="shared" si="17"/>
        <v>PASS</v>
      </c>
    </row>
    <row r="68" spans="1:37" x14ac:dyDescent="0.25">
      <c r="A68" t="s">
        <v>28</v>
      </c>
      <c r="B68" t="s">
        <v>29</v>
      </c>
      <c r="C68">
        <v>25</v>
      </c>
      <c r="D68" t="s">
        <v>38</v>
      </c>
      <c r="E68" s="1" t="s">
        <v>39</v>
      </c>
      <c r="F68" s="1" t="s">
        <v>35</v>
      </c>
      <c r="G68">
        <v>2021</v>
      </c>
      <c r="H68" s="12">
        <v>44317</v>
      </c>
      <c r="I68" s="12">
        <v>44469</v>
      </c>
      <c r="J68">
        <v>159.05250000000001</v>
      </c>
      <c r="K68">
        <v>-18828.542249999999</v>
      </c>
      <c r="L68">
        <v>1.03955882352941</v>
      </c>
      <c r="M68">
        <v>-123.06236764705901</v>
      </c>
      <c r="N68">
        <v>29.210750000000001</v>
      </c>
      <c r="O68">
        <v>19.900674237472799</v>
      </c>
      <c r="P68">
        <v>27.794750000000001</v>
      </c>
      <c r="Q68">
        <v>7.4124999999999996</v>
      </c>
      <c r="R68">
        <v>12</v>
      </c>
      <c r="S68">
        <v>25</v>
      </c>
      <c r="T68">
        <v>0.39500000000000002</v>
      </c>
      <c r="U68">
        <v>9.3514209655043395E-2</v>
      </c>
      <c r="V68">
        <v>153</v>
      </c>
      <c r="W68">
        <v>6.4542483660130703</v>
      </c>
      <c r="Y68" s="29">
        <v>41.945900000000002</v>
      </c>
      <c r="Z68" s="29">
        <v>-70.079599999999999</v>
      </c>
      <c r="AC68" s="21">
        <f t="shared" si="9"/>
        <v>1</v>
      </c>
      <c r="AD68" s="21">
        <f t="shared" si="10"/>
        <v>31</v>
      </c>
      <c r="AE68" s="21">
        <f t="shared" si="11"/>
        <v>31</v>
      </c>
      <c r="AF68" s="21">
        <f t="shared" si="12"/>
        <v>31</v>
      </c>
      <c r="AG68" s="21">
        <f t="shared" si="13"/>
        <v>31</v>
      </c>
      <c r="AH68" s="21">
        <f t="shared" si="14"/>
        <v>30</v>
      </c>
      <c r="AI68" s="21">
        <f t="shared" si="15"/>
        <v>5</v>
      </c>
      <c r="AJ68" s="21" t="str">
        <f t="shared" si="16"/>
        <v>PASS</v>
      </c>
      <c r="AK68" s="21" t="str">
        <f t="shared" si="17"/>
        <v>PASS</v>
      </c>
    </row>
    <row r="69" spans="1:37" x14ac:dyDescent="0.25">
      <c r="A69" t="s">
        <v>28</v>
      </c>
      <c r="B69" t="s">
        <v>29</v>
      </c>
      <c r="C69">
        <v>25</v>
      </c>
      <c r="D69" t="s">
        <v>38</v>
      </c>
      <c r="E69" s="1" t="s">
        <v>39</v>
      </c>
      <c r="F69" s="1" t="s">
        <v>35</v>
      </c>
      <c r="G69">
        <v>2022</v>
      </c>
      <c r="H69" s="12">
        <v>44682</v>
      </c>
      <c r="I69" s="12">
        <v>44834</v>
      </c>
      <c r="J69">
        <v>455.28975000000003</v>
      </c>
      <c r="K69">
        <v>-18637.690999999999</v>
      </c>
      <c r="L69">
        <v>2.9757500000000001</v>
      </c>
      <c r="M69">
        <v>-121.81497385620899</v>
      </c>
      <c r="N69">
        <v>48.874000000000002</v>
      </c>
      <c r="O69">
        <v>20.031672249455301</v>
      </c>
      <c r="P69">
        <v>29.171250000000001</v>
      </c>
      <c r="Q69">
        <v>7.68825</v>
      </c>
      <c r="R69">
        <v>25</v>
      </c>
      <c r="S69">
        <v>32</v>
      </c>
      <c r="T69">
        <v>0.51822916666666696</v>
      </c>
      <c r="U69">
        <v>0.12626678748310599</v>
      </c>
      <c r="V69">
        <v>153</v>
      </c>
      <c r="W69">
        <v>10.838779956427</v>
      </c>
      <c r="Y69" s="29">
        <v>41.945900000000002</v>
      </c>
      <c r="Z69" s="29">
        <v>-70.079599999999999</v>
      </c>
      <c r="AC69" s="21">
        <f t="shared" si="9"/>
        <v>1</v>
      </c>
      <c r="AD69" s="21">
        <f t="shared" si="10"/>
        <v>31</v>
      </c>
      <c r="AE69" s="21">
        <f t="shared" si="11"/>
        <v>31</v>
      </c>
      <c r="AF69" s="21">
        <f t="shared" si="12"/>
        <v>31</v>
      </c>
      <c r="AG69" s="21">
        <f t="shared" si="13"/>
        <v>31</v>
      </c>
      <c r="AH69" s="21">
        <f t="shared" si="14"/>
        <v>30</v>
      </c>
      <c r="AI69" s="21">
        <f t="shared" si="15"/>
        <v>5</v>
      </c>
      <c r="AJ69" s="21" t="str">
        <f t="shared" si="16"/>
        <v>PASS</v>
      </c>
      <c r="AK69" s="21" t="str">
        <f t="shared" si="17"/>
        <v>PASS</v>
      </c>
    </row>
    <row r="70" spans="1:37" x14ac:dyDescent="0.25">
      <c r="A70" t="s">
        <v>28</v>
      </c>
      <c r="B70" t="s">
        <v>29</v>
      </c>
      <c r="C70">
        <v>25</v>
      </c>
      <c r="D70" t="s">
        <v>38</v>
      </c>
      <c r="E70" s="1" t="s">
        <v>39</v>
      </c>
      <c r="F70" s="1" t="s">
        <v>35</v>
      </c>
      <c r="G70">
        <v>2023</v>
      </c>
      <c r="H70" s="12">
        <v>45047</v>
      </c>
      <c r="I70" s="12">
        <v>45199</v>
      </c>
      <c r="J70">
        <v>32.318249999999999</v>
      </c>
      <c r="K70">
        <v>-18008.819749999999</v>
      </c>
      <c r="L70">
        <v>0.244835227272727</v>
      </c>
      <c r="M70">
        <v>-136.430452651515</v>
      </c>
      <c r="N70">
        <v>7.30325000000001</v>
      </c>
      <c r="O70">
        <v>19.2482706876457</v>
      </c>
      <c r="P70">
        <v>26.579000000000001</v>
      </c>
      <c r="Q70">
        <v>7.6444999999999999</v>
      </c>
      <c r="R70">
        <v>5</v>
      </c>
      <c r="S70">
        <v>22</v>
      </c>
      <c r="T70">
        <v>0.16098484848484801</v>
      </c>
      <c r="U70">
        <v>2.0200610971771799E-2</v>
      </c>
      <c r="V70">
        <v>132</v>
      </c>
      <c r="W70">
        <v>2.7078687480089201</v>
      </c>
      <c r="Y70" s="29">
        <v>41.945900000000002</v>
      </c>
      <c r="Z70" s="29">
        <v>-70.079599999999999</v>
      </c>
      <c r="AC70" s="21">
        <f t="shared" si="9"/>
        <v>0.86274509803921573</v>
      </c>
      <c r="AD70" s="21">
        <f t="shared" si="10"/>
        <v>31</v>
      </c>
      <c r="AE70" s="21">
        <f t="shared" si="11"/>
        <v>31</v>
      </c>
      <c r="AF70" s="21">
        <f t="shared" si="12"/>
        <v>31</v>
      </c>
      <c r="AG70" s="21">
        <f t="shared" si="13"/>
        <v>31</v>
      </c>
      <c r="AH70" s="21">
        <f t="shared" si="14"/>
        <v>30</v>
      </c>
      <c r="AI70" s="21">
        <f t="shared" si="15"/>
        <v>5</v>
      </c>
      <c r="AJ70" s="21" t="str">
        <f t="shared" si="16"/>
        <v>PASS</v>
      </c>
      <c r="AK70" s="21" t="str">
        <f t="shared" si="17"/>
        <v>PASS</v>
      </c>
    </row>
    <row r="71" spans="1:37" x14ac:dyDescent="0.25">
      <c r="A71" t="s">
        <v>28</v>
      </c>
      <c r="B71" t="s">
        <v>29</v>
      </c>
      <c r="C71">
        <v>25</v>
      </c>
      <c r="D71" t="s">
        <v>38</v>
      </c>
      <c r="E71" s="1" t="s">
        <v>39</v>
      </c>
      <c r="F71" t="s">
        <v>37</v>
      </c>
      <c r="G71">
        <v>2004</v>
      </c>
      <c r="H71" s="12">
        <v>38108</v>
      </c>
      <c r="I71" s="12">
        <v>38231</v>
      </c>
      <c r="J71">
        <v>0</v>
      </c>
      <c r="K71">
        <v>-20480.87</v>
      </c>
      <c r="L71">
        <v>0</v>
      </c>
      <c r="M71">
        <v>-165.16830645161301</v>
      </c>
      <c r="N71">
        <v>0</v>
      </c>
      <c r="O71">
        <v>17.9139641897081</v>
      </c>
      <c r="P71">
        <v>24.38</v>
      </c>
      <c r="Q71">
        <v>7.44</v>
      </c>
      <c r="R71">
        <v>0</v>
      </c>
      <c r="S71">
        <v>0</v>
      </c>
      <c r="T71">
        <v>0</v>
      </c>
      <c r="U71">
        <v>0</v>
      </c>
      <c r="V71">
        <v>124</v>
      </c>
      <c r="W71">
        <v>0</v>
      </c>
      <c r="Y71" s="29">
        <v>41.945900000000002</v>
      </c>
      <c r="Z71" s="29">
        <v>-70.079599999999999</v>
      </c>
      <c r="AC71" s="21">
        <f t="shared" si="9"/>
        <v>0.81045751633986929</v>
      </c>
      <c r="AD71" s="21">
        <f t="shared" si="10"/>
        <v>31</v>
      </c>
      <c r="AE71" s="21">
        <f t="shared" si="11"/>
        <v>31</v>
      </c>
      <c r="AF71" s="21">
        <f t="shared" si="12"/>
        <v>31</v>
      </c>
      <c r="AG71" s="21">
        <f t="shared" si="13"/>
        <v>31</v>
      </c>
      <c r="AH71" s="21">
        <f t="shared" si="14"/>
        <v>1</v>
      </c>
      <c r="AI71" s="21">
        <f t="shared" si="15"/>
        <v>4</v>
      </c>
      <c r="AJ71" s="21" t="str">
        <f t="shared" si="16"/>
        <v>PASS</v>
      </c>
      <c r="AK71" s="21" t="str">
        <f t="shared" si="17"/>
        <v>PASS</v>
      </c>
    </row>
    <row r="72" spans="1:37" x14ac:dyDescent="0.25">
      <c r="A72" t="s">
        <v>28</v>
      </c>
      <c r="B72" t="s">
        <v>29</v>
      </c>
      <c r="C72">
        <v>25</v>
      </c>
      <c r="D72" t="s">
        <v>38</v>
      </c>
      <c r="E72" s="1" t="s">
        <v>39</v>
      </c>
      <c r="F72" t="s">
        <v>37</v>
      </c>
      <c r="G72">
        <v>2005</v>
      </c>
      <c r="H72" s="12">
        <v>38473</v>
      </c>
      <c r="I72" s="12">
        <v>38625</v>
      </c>
      <c r="J72">
        <v>1.1399999999999999</v>
      </c>
      <c r="K72">
        <v>-26820.97</v>
      </c>
      <c r="L72">
        <v>7.4509803921568403E-3</v>
      </c>
      <c r="M72">
        <v>-175.30045751634</v>
      </c>
      <c r="N72">
        <v>0.71999999999999498</v>
      </c>
      <c r="O72">
        <v>17.681036220043602</v>
      </c>
      <c r="P72">
        <v>25.24</v>
      </c>
      <c r="Q72">
        <v>5.88</v>
      </c>
      <c r="R72">
        <v>1</v>
      </c>
      <c r="S72">
        <v>3</v>
      </c>
      <c r="T72">
        <v>0.125</v>
      </c>
      <c r="U72">
        <v>0</v>
      </c>
      <c r="V72">
        <v>153</v>
      </c>
      <c r="W72">
        <v>0.24509803921568599</v>
      </c>
      <c r="Y72" s="29">
        <v>41.945900000000002</v>
      </c>
      <c r="Z72" s="29">
        <v>-70.079599999999999</v>
      </c>
      <c r="AC72" s="21">
        <f t="shared" si="9"/>
        <v>1</v>
      </c>
      <c r="AD72" s="21">
        <f t="shared" si="10"/>
        <v>31</v>
      </c>
      <c r="AE72" s="21">
        <f t="shared" si="11"/>
        <v>31</v>
      </c>
      <c r="AF72" s="21">
        <f t="shared" si="12"/>
        <v>31</v>
      </c>
      <c r="AG72" s="21">
        <f t="shared" si="13"/>
        <v>31</v>
      </c>
      <c r="AH72" s="21">
        <f t="shared" si="14"/>
        <v>30</v>
      </c>
      <c r="AI72" s="21">
        <f t="shared" si="15"/>
        <v>5</v>
      </c>
      <c r="AJ72" s="21" t="str">
        <f t="shared" si="16"/>
        <v>PASS</v>
      </c>
      <c r="AK72" s="21" t="str">
        <f t="shared" si="17"/>
        <v>PASS</v>
      </c>
    </row>
    <row r="73" spans="1:37" x14ac:dyDescent="0.25">
      <c r="A73" t="s">
        <v>28</v>
      </c>
      <c r="B73" t="s">
        <v>29</v>
      </c>
      <c r="C73">
        <v>25</v>
      </c>
      <c r="D73" t="s">
        <v>38</v>
      </c>
      <c r="E73" s="1" t="s">
        <v>39</v>
      </c>
      <c r="F73" t="s">
        <v>37</v>
      </c>
      <c r="G73">
        <v>2006</v>
      </c>
      <c r="H73" s="12">
        <v>38838</v>
      </c>
      <c r="I73" s="12">
        <v>38990</v>
      </c>
      <c r="J73">
        <v>11.945</v>
      </c>
      <c r="K73">
        <v>-24640.29</v>
      </c>
      <c r="L73">
        <v>7.8071895424836599E-2</v>
      </c>
      <c r="M73">
        <v>-161.047647058824</v>
      </c>
      <c r="N73">
        <v>9.07</v>
      </c>
      <c r="O73">
        <v>18.271874207763901</v>
      </c>
      <c r="P73">
        <v>26.14</v>
      </c>
      <c r="Q73">
        <v>6.49</v>
      </c>
      <c r="R73">
        <v>2</v>
      </c>
      <c r="S73">
        <v>7</v>
      </c>
      <c r="T73">
        <v>0.160714285714286</v>
      </c>
      <c r="U73">
        <v>4.0077400549055897E-2</v>
      </c>
      <c r="V73">
        <v>153</v>
      </c>
      <c r="W73">
        <v>0.73569482288828303</v>
      </c>
      <c r="Y73" s="29">
        <v>41.945900000000002</v>
      </c>
      <c r="Z73" s="29">
        <v>-70.079599999999999</v>
      </c>
      <c r="AC73" s="21">
        <f t="shared" si="9"/>
        <v>1</v>
      </c>
      <c r="AD73" s="21">
        <f t="shared" si="10"/>
        <v>31</v>
      </c>
      <c r="AE73" s="21">
        <f t="shared" si="11"/>
        <v>31</v>
      </c>
      <c r="AF73" s="21">
        <f t="shared" si="12"/>
        <v>31</v>
      </c>
      <c r="AG73" s="21">
        <f t="shared" si="13"/>
        <v>31</v>
      </c>
      <c r="AH73" s="21">
        <f t="shared" si="14"/>
        <v>30</v>
      </c>
      <c r="AI73" s="21">
        <f t="shared" si="15"/>
        <v>5</v>
      </c>
      <c r="AJ73" s="21" t="str">
        <f t="shared" si="16"/>
        <v>PASS</v>
      </c>
      <c r="AK73" s="21" t="str">
        <f t="shared" si="17"/>
        <v>PASS</v>
      </c>
    </row>
    <row r="74" spans="1:37" x14ac:dyDescent="0.25">
      <c r="A74" t="s">
        <v>28</v>
      </c>
      <c r="B74" t="s">
        <v>29</v>
      </c>
      <c r="C74">
        <v>25</v>
      </c>
      <c r="D74" t="s">
        <v>38</v>
      </c>
      <c r="E74" s="1" t="s">
        <v>39</v>
      </c>
      <c r="F74" t="s">
        <v>37</v>
      </c>
      <c r="G74">
        <v>2007</v>
      </c>
      <c r="H74" s="12">
        <v>39203</v>
      </c>
      <c r="I74" s="12">
        <v>39355</v>
      </c>
      <c r="J74">
        <v>3.6259999999999999</v>
      </c>
      <c r="K74">
        <v>-24472.0445</v>
      </c>
      <c r="L74">
        <v>2.3699346405228802E-2</v>
      </c>
      <c r="M74">
        <v>-159.948003267974</v>
      </c>
      <c r="N74">
        <v>2.7974999999999999</v>
      </c>
      <c r="O74">
        <v>18.317511963118601</v>
      </c>
      <c r="P74">
        <v>25.756499999999999</v>
      </c>
      <c r="Q74">
        <v>5.04</v>
      </c>
      <c r="R74">
        <v>2</v>
      </c>
      <c r="S74">
        <v>2</v>
      </c>
      <c r="T74">
        <v>0.1875</v>
      </c>
      <c r="U74">
        <v>6.25E-2</v>
      </c>
      <c r="V74">
        <v>153</v>
      </c>
      <c r="W74">
        <v>0.245298446443173</v>
      </c>
      <c r="Y74" s="29">
        <v>41.945900000000002</v>
      </c>
      <c r="Z74" s="29">
        <v>-70.079599999999999</v>
      </c>
      <c r="AC74" s="21">
        <f t="shared" si="9"/>
        <v>1</v>
      </c>
      <c r="AD74" s="21">
        <f t="shared" si="10"/>
        <v>31</v>
      </c>
      <c r="AE74" s="21">
        <f t="shared" si="11"/>
        <v>31</v>
      </c>
      <c r="AF74" s="21">
        <f t="shared" si="12"/>
        <v>31</v>
      </c>
      <c r="AG74" s="21">
        <f t="shared" si="13"/>
        <v>31</v>
      </c>
      <c r="AH74" s="21">
        <f t="shared" si="14"/>
        <v>30</v>
      </c>
      <c r="AI74" s="21">
        <f t="shared" si="15"/>
        <v>5</v>
      </c>
      <c r="AJ74" s="21" t="str">
        <f t="shared" si="16"/>
        <v>PASS</v>
      </c>
      <c r="AK74" s="21" t="str">
        <f t="shared" si="17"/>
        <v>PASS</v>
      </c>
    </row>
    <row r="75" spans="1:37" x14ac:dyDescent="0.25">
      <c r="A75" t="s">
        <v>28</v>
      </c>
      <c r="B75" t="s">
        <v>29</v>
      </c>
      <c r="C75">
        <v>25</v>
      </c>
      <c r="D75" t="s">
        <v>38</v>
      </c>
      <c r="E75" s="1" t="s">
        <v>39</v>
      </c>
      <c r="F75" t="s">
        <v>37</v>
      </c>
      <c r="G75">
        <v>2008</v>
      </c>
      <c r="H75" s="12">
        <v>39569</v>
      </c>
      <c r="I75" s="12">
        <v>39721</v>
      </c>
      <c r="J75">
        <v>1.4795</v>
      </c>
      <c r="K75">
        <v>-23712.105</v>
      </c>
      <c r="L75">
        <v>9.6699346405228603E-3</v>
      </c>
      <c r="M75">
        <v>-154.98107843137299</v>
      </c>
      <c r="N75">
        <v>0.38800000000000201</v>
      </c>
      <c r="O75">
        <v>18.521775735294099</v>
      </c>
      <c r="P75">
        <v>25.2225</v>
      </c>
      <c r="Q75">
        <v>6.5979999999999999</v>
      </c>
      <c r="R75">
        <v>4</v>
      </c>
      <c r="S75">
        <v>7</v>
      </c>
      <c r="T75">
        <v>8.9285714285714302E-2</v>
      </c>
      <c r="U75">
        <v>2.3053472298853701E-2</v>
      </c>
      <c r="V75">
        <v>153</v>
      </c>
      <c r="W75">
        <v>0.408942202835333</v>
      </c>
      <c r="Y75" s="29">
        <v>41.945900000000002</v>
      </c>
      <c r="Z75" s="29">
        <v>-70.079599999999999</v>
      </c>
      <c r="AC75" s="21">
        <f t="shared" si="9"/>
        <v>1</v>
      </c>
      <c r="AD75" s="21">
        <f t="shared" si="10"/>
        <v>31</v>
      </c>
      <c r="AE75" s="21">
        <f t="shared" si="11"/>
        <v>31</v>
      </c>
      <c r="AF75" s="21">
        <f t="shared" si="12"/>
        <v>31</v>
      </c>
      <c r="AG75" s="21">
        <f t="shared" si="13"/>
        <v>31</v>
      </c>
      <c r="AH75" s="21">
        <f t="shared" si="14"/>
        <v>30</v>
      </c>
      <c r="AI75" s="21">
        <f t="shared" si="15"/>
        <v>5</v>
      </c>
      <c r="AJ75" s="21" t="str">
        <f t="shared" si="16"/>
        <v>PASS</v>
      </c>
      <c r="AK75" s="21" t="str">
        <f t="shared" si="17"/>
        <v>PASS</v>
      </c>
    </row>
    <row r="76" spans="1:37" x14ac:dyDescent="0.25">
      <c r="A76" t="s">
        <v>28</v>
      </c>
      <c r="B76" t="s">
        <v>29</v>
      </c>
      <c r="C76">
        <v>25</v>
      </c>
      <c r="D76" t="s">
        <v>38</v>
      </c>
      <c r="E76" s="1" t="s">
        <v>39</v>
      </c>
      <c r="F76" t="s">
        <v>37</v>
      </c>
      <c r="G76">
        <v>2009</v>
      </c>
      <c r="H76" s="12">
        <v>39934</v>
      </c>
      <c r="I76" s="12">
        <v>40086</v>
      </c>
      <c r="J76">
        <v>14.3485</v>
      </c>
      <c r="K76">
        <v>-26361.680499999999</v>
      </c>
      <c r="L76">
        <v>9.3781045751633998E-2</v>
      </c>
      <c r="M76">
        <v>-172.29856535947701</v>
      </c>
      <c r="N76">
        <v>6.1040000000000001</v>
      </c>
      <c r="O76">
        <v>17.8019141748366</v>
      </c>
      <c r="P76">
        <v>26.182500000000001</v>
      </c>
      <c r="Q76">
        <v>7.7824999999999998</v>
      </c>
      <c r="R76">
        <v>5</v>
      </c>
      <c r="S76">
        <v>9</v>
      </c>
      <c r="T76">
        <v>0.194444444444444</v>
      </c>
      <c r="U76">
        <v>5.7265355911356397E-2</v>
      </c>
      <c r="V76">
        <v>153</v>
      </c>
      <c r="W76">
        <v>1.14628820960699</v>
      </c>
      <c r="Y76" s="29">
        <v>41.945900000000002</v>
      </c>
      <c r="Z76" s="29">
        <v>-70.079599999999999</v>
      </c>
      <c r="AC76" s="21">
        <f t="shared" si="9"/>
        <v>1</v>
      </c>
      <c r="AD76" s="21">
        <f t="shared" si="10"/>
        <v>31</v>
      </c>
      <c r="AE76" s="21">
        <f t="shared" si="11"/>
        <v>31</v>
      </c>
      <c r="AF76" s="21">
        <f t="shared" si="12"/>
        <v>31</v>
      </c>
      <c r="AG76" s="21">
        <f t="shared" si="13"/>
        <v>31</v>
      </c>
      <c r="AH76" s="21">
        <f t="shared" si="14"/>
        <v>30</v>
      </c>
      <c r="AI76" s="21">
        <f t="shared" si="15"/>
        <v>5</v>
      </c>
      <c r="AJ76" s="21" t="str">
        <f t="shared" si="16"/>
        <v>PASS</v>
      </c>
      <c r="AK76" s="21" t="str">
        <f t="shared" si="17"/>
        <v>PASS</v>
      </c>
    </row>
    <row r="77" spans="1:37" x14ac:dyDescent="0.25">
      <c r="A77" t="s">
        <v>28</v>
      </c>
      <c r="B77" t="s">
        <v>29</v>
      </c>
      <c r="C77">
        <v>25</v>
      </c>
      <c r="D77" t="s">
        <v>38</v>
      </c>
      <c r="E77" s="1" t="s">
        <v>39</v>
      </c>
      <c r="F77" t="s">
        <v>37</v>
      </c>
      <c r="G77">
        <v>2010</v>
      </c>
      <c r="H77" s="12">
        <v>40299</v>
      </c>
      <c r="I77" s="12">
        <v>40451</v>
      </c>
      <c r="J77">
        <v>39.828499999999998</v>
      </c>
      <c r="K77">
        <v>-21021.7595</v>
      </c>
      <c r="L77">
        <v>0.26031699346405202</v>
      </c>
      <c r="M77">
        <v>-137.39712091503301</v>
      </c>
      <c r="N77">
        <v>12.0245</v>
      </c>
      <c r="O77">
        <v>19.238711609088099</v>
      </c>
      <c r="P77">
        <v>26.39</v>
      </c>
      <c r="Q77">
        <v>8.8290000000000006</v>
      </c>
      <c r="R77">
        <v>8</v>
      </c>
      <c r="S77">
        <v>10</v>
      </c>
      <c r="T77">
        <v>0.358333333333333</v>
      </c>
      <c r="U77">
        <v>0.13411230782859199</v>
      </c>
      <c r="V77">
        <v>153</v>
      </c>
      <c r="W77">
        <v>2.3587493143170599</v>
      </c>
      <c r="Y77" s="29">
        <v>41.945900000000002</v>
      </c>
      <c r="Z77" s="29">
        <v>-70.079599999999999</v>
      </c>
      <c r="AC77" s="21">
        <f t="shared" si="9"/>
        <v>1</v>
      </c>
      <c r="AD77" s="21">
        <f t="shared" si="10"/>
        <v>31</v>
      </c>
      <c r="AE77" s="21">
        <f t="shared" si="11"/>
        <v>31</v>
      </c>
      <c r="AF77" s="21">
        <f t="shared" si="12"/>
        <v>31</v>
      </c>
      <c r="AG77" s="21">
        <f t="shared" si="13"/>
        <v>31</v>
      </c>
      <c r="AH77" s="21">
        <f t="shared" si="14"/>
        <v>30</v>
      </c>
      <c r="AI77" s="21">
        <f t="shared" si="15"/>
        <v>5</v>
      </c>
      <c r="AJ77" s="21" t="str">
        <f t="shared" si="16"/>
        <v>PASS</v>
      </c>
      <c r="AK77" s="21" t="str">
        <f t="shared" si="17"/>
        <v>PASS</v>
      </c>
    </row>
    <row r="78" spans="1:37" x14ac:dyDescent="0.25">
      <c r="A78" t="s">
        <v>28</v>
      </c>
      <c r="B78" t="s">
        <v>29</v>
      </c>
      <c r="C78">
        <v>25</v>
      </c>
      <c r="D78" t="s">
        <v>38</v>
      </c>
      <c r="E78" s="1" t="s">
        <v>39</v>
      </c>
      <c r="F78" t="s">
        <v>37</v>
      </c>
      <c r="G78">
        <v>2011</v>
      </c>
      <c r="H78" s="12">
        <v>40664</v>
      </c>
      <c r="I78" s="12">
        <v>40816</v>
      </c>
      <c r="J78">
        <v>7.8019999999999996</v>
      </c>
      <c r="K78">
        <v>-24339.684499999999</v>
      </c>
      <c r="L78">
        <v>5.09934640522876E-2</v>
      </c>
      <c r="M78">
        <v>-159.08290522875799</v>
      </c>
      <c r="N78">
        <v>3.512</v>
      </c>
      <c r="O78">
        <v>18.356976906318099</v>
      </c>
      <c r="P78">
        <v>25.622499999999999</v>
      </c>
      <c r="Q78">
        <v>6.4714999999999998</v>
      </c>
      <c r="R78">
        <v>3</v>
      </c>
      <c r="S78">
        <v>7</v>
      </c>
      <c r="T78">
        <v>0.172619047619048</v>
      </c>
      <c r="U78">
        <v>2.47817380888825E-2</v>
      </c>
      <c r="V78">
        <v>153</v>
      </c>
      <c r="W78">
        <v>0.789760348583878</v>
      </c>
      <c r="Y78" s="29">
        <v>41.945900000000002</v>
      </c>
      <c r="Z78" s="29">
        <v>-70.079599999999999</v>
      </c>
      <c r="AC78" s="21">
        <f t="shared" si="9"/>
        <v>1</v>
      </c>
      <c r="AD78" s="21">
        <f t="shared" si="10"/>
        <v>31</v>
      </c>
      <c r="AE78" s="21">
        <f t="shared" si="11"/>
        <v>31</v>
      </c>
      <c r="AF78" s="21">
        <f t="shared" si="12"/>
        <v>31</v>
      </c>
      <c r="AG78" s="21">
        <f t="shared" si="13"/>
        <v>31</v>
      </c>
      <c r="AH78" s="21">
        <f t="shared" si="14"/>
        <v>30</v>
      </c>
      <c r="AI78" s="21">
        <f t="shared" si="15"/>
        <v>5</v>
      </c>
      <c r="AJ78" s="21" t="str">
        <f t="shared" si="16"/>
        <v>PASS</v>
      </c>
      <c r="AK78" s="21" t="str">
        <f t="shared" si="17"/>
        <v>PASS</v>
      </c>
    </row>
    <row r="79" spans="1:37" x14ac:dyDescent="0.25">
      <c r="A79" t="s">
        <v>28</v>
      </c>
      <c r="B79" t="s">
        <v>29</v>
      </c>
      <c r="C79">
        <v>25</v>
      </c>
      <c r="D79" t="s">
        <v>38</v>
      </c>
      <c r="E79" s="1" t="s">
        <v>39</v>
      </c>
      <c r="F79" t="s">
        <v>37</v>
      </c>
      <c r="G79">
        <v>2014</v>
      </c>
      <c r="H79" s="12">
        <v>41760</v>
      </c>
      <c r="I79" s="12">
        <v>41912</v>
      </c>
      <c r="J79">
        <v>2.2265000000000001</v>
      </c>
      <c r="K79">
        <v>-24483.756083333301</v>
      </c>
      <c r="L79">
        <v>1.45522875816993E-2</v>
      </c>
      <c r="M79">
        <v>-160.02454956426999</v>
      </c>
      <c r="N79">
        <v>2.0489999999999999</v>
      </c>
      <c r="O79">
        <v>18.314520157044299</v>
      </c>
      <c r="P79">
        <v>25.677</v>
      </c>
      <c r="Q79">
        <v>7.0659999999999998</v>
      </c>
      <c r="R79">
        <v>1</v>
      </c>
      <c r="S79">
        <v>3</v>
      </c>
      <c r="T79">
        <v>0.11111111111111099</v>
      </c>
      <c r="U79">
        <v>2.7777777777777801E-2</v>
      </c>
      <c r="V79">
        <v>153</v>
      </c>
      <c r="W79">
        <v>0.21786492374727701</v>
      </c>
      <c r="Y79" s="29">
        <v>41.945900000000002</v>
      </c>
      <c r="Z79" s="29">
        <v>-70.079599999999999</v>
      </c>
      <c r="AC79" s="21">
        <f t="shared" si="9"/>
        <v>1</v>
      </c>
      <c r="AD79" s="21">
        <f t="shared" si="10"/>
        <v>31</v>
      </c>
      <c r="AE79" s="21">
        <f t="shared" si="11"/>
        <v>31</v>
      </c>
      <c r="AF79" s="21">
        <f t="shared" si="12"/>
        <v>31</v>
      </c>
      <c r="AG79" s="21">
        <f t="shared" si="13"/>
        <v>31</v>
      </c>
      <c r="AH79" s="21">
        <f t="shared" si="14"/>
        <v>30</v>
      </c>
      <c r="AI79" s="21">
        <f t="shared" si="15"/>
        <v>5</v>
      </c>
      <c r="AJ79" s="21" t="str">
        <f t="shared" si="16"/>
        <v>PASS</v>
      </c>
      <c r="AK79" s="21" t="str">
        <f t="shared" si="17"/>
        <v>PASS</v>
      </c>
    </row>
    <row r="80" spans="1:37" x14ac:dyDescent="0.25">
      <c r="A80" t="s">
        <v>28</v>
      </c>
      <c r="B80" t="s">
        <v>29</v>
      </c>
      <c r="C80">
        <v>25</v>
      </c>
      <c r="D80" t="s">
        <v>38</v>
      </c>
      <c r="E80" s="1" t="s">
        <v>39</v>
      </c>
      <c r="F80" t="s">
        <v>37</v>
      </c>
      <c r="G80">
        <v>2015</v>
      </c>
      <c r="H80" s="12">
        <v>42125</v>
      </c>
      <c r="I80" s="12">
        <v>42277</v>
      </c>
      <c r="J80">
        <v>123.3155</v>
      </c>
      <c r="K80">
        <v>-22412.943500000001</v>
      </c>
      <c r="L80">
        <v>0.80598366013071898</v>
      </c>
      <c r="M80">
        <v>-146.489826797386</v>
      </c>
      <c r="N80">
        <v>17.253</v>
      </c>
      <c r="O80">
        <v>18.911578894335499</v>
      </c>
      <c r="P80">
        <v>27.216249999999999</v>
      </c>
      <c r="Q80">
        <v>7.5190000000000001</v>
      </c>
      <c r="R80">
        <v>11</v>
      </c>
      <c r="S80">
        <v>15</v>
      </c>
      <c r="T80">
        <v>0.50555555555555598</v>
      </c>
      <c r="U80">
        <v>0.21006686178393999</v>
      </c>
      <c r="V80">
        <v>153</v>
      </c>
      <c r="W80">
        <v>4.9564270152505401</v>
      </c>
      <c r="Y80" s="29">
        <v>41.945900000000002</v>
      </c>
      <c r="Z80" s="29">
        <v>-70.079599999999999</v>
      </c>
      <c r="AC80" s="21">
        <f t="shared" si="9"/>
        <v>1</v>
      </c>
      <c r="AD80" s="21">
        <f t="shared" si="10"/>
        <v>31</v>
      </c>
      <c r="AE80" s="21">
        <f t="shared" si="11"/>
        <v>31</v>
      </c>
      <c r="AF80" s="21">
        <f t="shared" si="12"/>
        <v>31</v>
      </c>
      <c r="AG80" s="21">
        <f t="shared" si="13"/>
        <v>31</v>
      </c>
      <c r="AH80" s="21">
        <f t="shared" si="14"/>
        <v>30</v>
      </c>
      <c r="AI80" s="21">
        <f t="shared" si="15"/>
        <v>5</v>
      </c>
      <c r="AJ80" s="21" t="str">
        <f t="shared" si="16"/>
        <v>PASS</v>
      </c>
      <c r="AK80" s="21" t="str">
        <f t="shared" si="17"/>
        <v>PASS</v>
      </c>
    </row>
    <row r="81" spans="1:37" x14ac:dyDescent="0.25">
      <c r="A81" t="s">
        <v>28</v>
      </c>
      <c r="B81" t="s">
        <v>29</v>
      </c>
      <c r="C81">
        <v>25</v>
      </c>
      <c r="D81" t="s">
        <v>38</v>
      </c>
      <c r="E81" s="1" t="s">
        <v>39</v>
      </c>
      <c r="F81" t="s">
        <v>37</v>
      </c>
      <c r="G81">
        <v>2016</v>
      </c>
      <c r="H81" s="12">
        <v>42491</v>
      </c>
      <c r="I81" s="12">
        <v>42643</v>
      </c>
      <c r="J81">
        <v>122.9405</v>
      </c>
      <c r="K81">
        <v>-21197.37975</v>
      </c>
      <c r="L81">
        <v>0.80353267973856202</v>
      </c>
      <c r="M81">
        <v>-138.54496568627499</v>
      </c>
      <c r="N81">
        <v>28.683</v>
      </c>
      <c r="O81">
        <v>19.245697099673201</v>
      </c>
      <c r="P81">
        <v>27.2225</v>
      </c>
      <c r="Q81">
        <v>7.1414999999999997</v>
      </c>
      <c r="R81">
        <v>7</v>
      </c>
      <c r="S81">
        <v>15</v>
      </c>
      <c r="T81">
        <v>0.41388888888888897</v>
      </c>
      <c r="U81">
        <v>9.1238780083809007E-2</v>
      </c>
      <c r="V81">
        <v>153</v>
      </c>
      <c r="W81">
        <v>4.0577342047930296</v>
      </c>
      <c r="Y81" s="29">
        <v>41.945900000000002</v>
      </c>
      <c r="Z81" s="29">
        <v>-70.079599999999999</v>
      </c>
      <c r="AC81" s="21">
        <f t="shared" si="9"/>
        <v>1</v>
      </c>
      <c r="AD81" s="21">
        <f t="shared" si="10"/>
        <v>31</v>
      </c>
      <c r="AE81" s="21">
        <f t="shared" si="11"/>
        <v>31</v>
      </c>
      <c r="AF81" s="21">
        <f t="shared" si="12"/>
        <v>31</v>
      </c>
      <c r="AG81" s="21">
        <f t="shared" si="13"/>
        <v>31</v>
      </c>
      <c r="AH81" s="21">
        <f t="shared" si="14"/>
        <v>30</v>
      </c>
      <c r="AI81" s="21">
        <f t="shared" si="15"/>
        <v>5</v>
      </c>
      <c r="AJ81" s="21" t="str">
        <f t="shared" si="16"/>
        <v>PASS</v>
      </c>
      <c r="AK81" s="21" t="str">
        <f t="shared" si="17"/>
        <v>PASS</v>
      </c>
    </row>
    <row r="82" spans="1:37" x14ac:dyDescent="0.25">
      <c r="A82" t="s">
        <v>28</v>
      </c>
      <c r="B82" t="s">
        <v>29</v>
      </c>
      <c r="C82">
        <v>25</v>
      </c>
      <c r="D82" t="s">
        <v>38</v>
      </c>
      <c r="E82" s="1" t="s">
        <v>39</v>
      </c>
      <c r="F82" t="s">
        <v>37</v>
      </c>
      <c r="G82">
        <v>2017</v>
      </c>
      <c r="H82" s="12">
        <v>42856</v>
      </c>
      <c r="I82" s="12">
        <v>43008</v>
      </c>
      <c r="J82">
        <v>0</v>
      </c>
      <c r="K82">
        <v>-26132.070250000001</v>
      </c>
      <c r="L82">
        <v>0</v>
      </c>
      <c r="M82">
        <v>-170.79784477124201</v>
      </c>
      <c r="N82">
        <v>0</v>
      </c>
      <c r="O82">
        <v>17.868722317538101</v>
      </c>
      <c r="P82">
        <v>24.804500000000001</v>
      </c>
      <c r="Q82">
        <v>8.0325000000000006</v>
      </c>
      <c r="R82">
        <v>0</v>
      </c>
      <c r="S82">
        <v>0</v>
      </c>
      <c r="T82">
        <v>0</v>
      </c>
      <c r="U82">
        <v>0</v>
      </c>
      <c r="V82">
        <v>153</v>
      </c>
      <c r="W82">
        <v>0</v>
      </c>
      <c r="Y82" s="29">
        <v>41.945900000000002</v>
      </c>
      <c r="Z82" s="29">
        <v>-70.079599999999999</v>
      </c>
      <c r="AC82" s="21">
        <f t="shared" si="9"/>
        <v>1</v>
      </c>
      <c r="AD82" s="21">
        <f t="shared" si="10"/>
        <v>31</v>
      </c>
      <c r="AE82" s="21">
        <f t="shared" si="11"/>
        <v>31</v>
      </c>
      <c r="AF82" s="21">
        <f t="shared" si="12"/>
        <v>31</v>
      </c>
      <c r="AG82" s="21">
        <f t="shared" si="13"/>
        <v>31</v>
      </c>
      <c r="AH82" s="21">
        <f t="shared" si="14"/>
        <v>30</v>
      </c>
      <c r="AI82" s="21">
        <f t="shared" si="15"/>
        <v>5</v>
      </c>
      <c r="AJ82" s="21" t="str">
        <f t="shared" si="16"/>
        <v>PASS</v>
      </c>
      <c r="AK82" s="21" t="str">
        <f t="shared" si="17"/>
        <v>PASS</v>
      </c>
    </row>
    <row r="83" spans="1:37" x14ac:dyDescent="0.25">
      <c r="A83" t="s">
        <v>28</v>
      </c>
      <c r="B83" t="s">
        <v>29</v>
      </c>
      <c r="C83">
        <v>25</v>
      </c>
      <c r="D83" t="s">
        <v>38</v>
      </c>
      <c r="E83" s="1" t="s">
        <v>39</v>
      </c>
      <c r="F83" t="s">
        <v>37</v>
      </c>
      <c r="G83">
        <v>2018</v>
      </c>
      <c r="H83" s="12">
        <v>43221</v>
      </c>
      <c r="I83" s="12">
        <v>43373</v>
      </c>
      <c r="J83">
        <v>17.82375</v>
      </c>
      <c r="K83">
        <v>-23414.135750000001</v>
      </c>
      <c r="L83">
        <v>0.116495098039216</v>
      </c>
      <c r="M83">
        <v>-153.03356699346401</v>
      </c>
      <c r="N83">
        <v>4.3005000000000004</v>
      </c>
      <c r="O83">
        <v>18.6126184640523</v>
      </c>
      <c r="P83">
        <v>26.16375</v>
      </c>
      <c r="Q83">
        <v>6.6172500000000003</v>
      </c>
      <c r="R83">
        <v>4</v>
      </c>
      <c r="S83">
        <v>12</v>
      </c>
      <c r="T83">
        <v>0.15277777777777801</v>
      </c>
      <c r="U83">
        <v>2.3688968483956699E-2</v>
      </c>
      <c r="V83">
        <v>153</v>
      </c>
      <c r="W83">
        <v>1.1982570806100199</v>
      </c>
      <c r="Y83" s="29">
        <v>41.945900000000002</v>
      </c>
      <c r="Z83" s="29">
        <v>-70.079599999999999</v>
      </c>
      <c r="AC83" s="21">
        <f t="shared" si="9"/>
        <v>1</v>
      </c>
      <c r="AD83" s="21">
        <f t="shared" si="10"/>
        <v>31</v>
      </c>
      <c r="AE83" s="21">
        <f t="shared" si="11"/>
        <v>31</v>
      </c>
      <c r="AF83" s="21">
        <f t="shared" si="12"/>
        <v>31</v>
      </c>
      <c r="AG83" s="21">
        <f t="shared" si="13"/>
        <v>31</v>
      </c>
      <c r="AH83" s="21">
        <f t="shared" si="14"/>
        <v>30</v>
      </c>
      <c r="AI83" s="21">
        <f t="shared" si="15"/>
        <v>5</v>
      </c>
      <c r="AJ83" s="21" t="str">
        <f t="shared" si="16"/>
        <v>PASS</v>
      </c>
      <c r="AK83" s="21" t="str">
        <f t="shared" si="17"/>
        <v>PASS</v>
      </c>
    </row>
    <row r="84" spans="1:37" x14ac:dyDescent="0.25">
      <c r="A84" t="s">
        <v>28</v>
      </c>
      <c r="B84" t="s">
        <v>29</v>
      </c>
      <c r="C84">
        <v>25</v>
      </c>
      <c r="D84" t="s">
        <v>38</v>
      </c>
      <c r="E84" s="1" t="s">
        <v>39</v>
      </c>
      <c r="F84" t="s">
        <v>37</v>
      </c>
      <c r="G84">
        <v>2019</v>
      </c>
      <c r="H84" s="12">
        <v>43586</v>
      </c>
      <c r="I84" s="12">
        <v>43738</v>
      </c>
      <c r="J84">
        <v>62.60125</v>
      </c>
      <c r="K84">
        <v>-24342.960500000001</v>
      </c>
      <c r="L84">
        <v>0.40915849673202598</v>
      </c>
      <c r="M84">
        <v>-159.10431699346401</v>
      </c>
      <c r="N84">
        <v>21.963999999999999</v>
      </c>
      <c r="O84">
        <v>18.372041476034902</v>
      </c>
      <c r="P84">
        <v>27.2105</v>
      </c>
      <c r="Q84">
        <v>6.8952499999999999</v>
      </c>
      <c r="R84">
        <v>8</v>
      </c>
      <c r="S84">
        <v>13</v>
      </c>
      <c r="T84">
        <v>0.33012820512820501</v>
      </c>
      <c r="U84">
        <v>0.166630707823712</v>
      </c>
      <c r="V84">
        <v>153</v>
      </c>
      <c r="W84">
        <v>2.8050108932461901</v>
      </c>
      <c r="Y84" s="29">
        <v>41.945900000000002</v>
      </c>
      <c r="Z84" s="29">
        <v>-70.079599999999999</v>
      </c>
      <c r="AC84" s="21">
        <f t="shared" si="9"/>
        <v>1</v>
      </c>
      <c r="AD84" s="21">
        <f t="shared" si="10"/>
        <v>31</v>
      </c>
      <c r="AE84" s="21">
        <f t="shared" si="11"/>
        <v>31</v>
      </c>
      <c r="AF84" s="21">
        <f t="shared" si="12"/>
        <v>31</v>
      </c>
      <c r="AG84" s="21">
        <f t="shared" si="13"/>
        <v>31</v>
      </c>
      <c r="AH84" s="21">
        <f t="shared" si="14"/>
        <v>30</v>
      </c>
      <c r="AI84" s="21">
        <f t="shared" si="15"/>
        <v>5</v>
      </c>
      <c r="AJ84" s="21" t="str">
        <f t="shared" si="16"/>
        <v>PASS</v>
      </c>
      <c r="AK84" s="21" t="str">
        <f t="shared" si="17"/>
        <v>PASS</v>
      </c>
    </row>
    <row r="85" spans="1:37" x14ac:dyDescent="0.25">
      <c r="A85" t="s">
        <v>28</v>
      </c>
      <c r="B85" t="s">
        <v>29</v>
      </c>
      <c r="C85">
        <v>25</v>
      </c>
      <c r="D85" t="s">
        <v>38</v>
      </c>
      <c r="E85" s="1" t="s">
        <v>39</v>
      </c>
      <c r="F85" t="s">
        <v>37</v>
      </c>
      <c r="G85">
        <v>2020</v>
      </c>
      <c r="H85" s="12">
        <v>43952</v>
      </c>
      <c r="I85" s="12">
        <v>44104</v>
      </c>
      <c r="J85">
        <v>298.48700000000002</v>
      </c>
      <c r="K85">
        <v>-23281.859</v>
      </c>
      <c r="L85">
        <v>1.9508954248365999</v>
      </c>
      <c r="M85">
        <v>-152.16901307189499</v>
      </c>
      <c r="N85">
        <v>42.207749999999997</v>
      </c>
      <c r="O85">
        <v>18.7234681917211</v>
      </c>
      <c r="P85">
        <v>27.640499999999999</v>
      </c>
      <c r="Q85">
        <v>8.0887499999999992</v>
      </c>
      <c r="R85">
        <v>15</v>
      </c>
      <c r="S85">
        <v>24</v>
      </c>
      <c r="T85">
        <v>0.54340277777777801</v>
      </c>
      <c r="U85">
        <v>0.23252479131168699</v>
      </c>
      <c r="V85">
        <v>153</v>
      </c>
      <c r="W85">
        <v>8.5239651416121998</v>
      </c>
      <c r="Y85" s="29">
        <v>41.945900000000002</v>
      </c>
      <c r="Z85" s="29">
        <v>-70.079599999999999</v>
      </c>
      <c r="AC85" s="21">
        <f t="shared" si="9"/>
        <v>1</v>
      </c>
      <c r="AD85" s="21">
        <f t="shared" si="10"/>
        <v>31</v>
      </c>
      <c r="AE85" s="21">
        <f t="shared" si="11"/>
        <v>31</v>
      </c>
      <c r="AF85" s="21">
        <f t="shared" si="12"/>
        <v>31</v>
      </c>
      <c r="AG85" s="21">
        <f t="shared" si="13"/>
        <v>31</v>
      </c>
      <c r="AH85" s="21">
        <f t="shared" si="14"/>
        <v>30</v>
      </c>
      <c r="AI85" s="21">
        <f t="shared" si="15"/>
        <v>5</v>
      </c>
      <c r="AJ85" s="21" t="str">
        <f t="shared" si="16"/>
        <v>PASS</v>
      </c>
      <c r="AK85" s="21" t="str">
        <f t="shared" si="17"/>
        <v>PASS</v>
      </c>
    </row>
    <row r="86" spans="1:37" x14ac:dyDescent="0.25">
      <c r="A86" t="s">
        <v>28</v>
      </c>
      <c r="B86" t="s">
        <v>29</v>
      </c>
      <c r="C86">
        <v>25</v>
      </c>
      <c r="D86" t="s">
        <v>42</v>
      </c>
      <c r="E86" t="s">
        <v>43</v>
      </c>
      <c r="F86" t="s">
        <v>44</v>
      </c>
      <c r="G86">
        <v>2022</v>
      </c>
      <c r="H86" s="12">
        <v>44693</v>
      </c>
      <c r="I86" s="12">
        <v>44834</v>
      </c>
      <c r="J86">
        <v>1550.69</v>
      </c>
      <c r="K86">
        <v>-9196.8524166666703</v>
      </c>
      <c r="L86">
        <v>10.9978014184397</v>
      </c>
      <c r="M86">
        <v>-65.225903664302606</v>
      </c>
      <c r="N86">
        <v>98.002750000000006</v>
      </c>
      <c r="O86">
        <v>22.644060996218801</v>
      </c>
      <c r="P86">
        <v>31.016749999999998</v>
      </c>
      <c r="Q86">
        <v>11.99225</v>
      </c>
      <c r="R86">
        <v>45</v>
      </c>
      <c r="S86">
        <v>38</v>
      </c>
      <c r="T86">
        <v>1.0263157894736801</v>
      </c>
      <c r="U86">
        <v>0.26467060679406401</v>
      </c>
      <c r="V86">
        <v>141</v>
      </c>
      <c r="W86">
        <v>28.571428571428601</v>
      </c>
      <c r="Y86" s="30">
        <v>42.055639999999997</v>
      </c>
      <c r="Z86" s="30">
        <v>70.124089999999995</v>
      </c>
      <c r="AC86" s="21">
        <f t="shared" si="9"/>
        <v>0.92156862745098034</v>
      </c>
      <c r="AD86" s="21">
        <f t="shared" si="10"/>
        <v>20</v>
      </c>
      <c r="AE86" s="21">
        <f t="shared" si="11"/>
        <v>31</v>
      </c>
      <c r="AF86" s="21">
        <f t="shared" si="12"/>
        <v>31</v>
      </c>
      <c r="AG86" s="21">
        <f t="shared" si="13"/>
        <v>31</v>
      </c>
      <c r="AH86" s="21">
        <f t="shared" si="14"/>
        <v>30</v>
      </c>
      <c r="AI86" s="21">
        <f t="shared" si="15"/>
        <v>5</v>
      </c>
      <c r="AJ86" s="21" t="str">
        <f t="shared" si="16"/>
        <v>PASS</v>
      </c>
      <c r="AK86" s="21" t="str">
        <f t="shared" si="17"/>
        <v>PASS</v>
      </c>
    </row>
    <row r="87" spans="1:37" x14ac:dyDescent="0.25">
      <c r="A87" t="s">
        <v>28</v>
      </c>
      <c r="B87" t="s">
        <v>29</v>
      </c>
      <c r="C87">
        <v>25</v>
      </c>
      <c r="D87" t="s">
        <v>42</v>
      </c>
      <c r="E87" t="s">
        <v>43</v>
      </c>
      <c r="F87" t="s">
        <v>44</v>
      </c>
      <c r="G87">
        <v>2023</v>
      </c>
      <c r="H87" s="12">
        <v>45062</v>
      </c>
      <c r="I87" s="12">
        <v>45199</v>
      </c>
      <c r="J87">
        <v>1504.9095</v>
      </c>
      <c r="K87">
        <v>-9842.9924166666697</v>
      </c>
      <c r="L87">
        <v>11.487858778626</v>
      </c>
      <c r="M87">
        <v>-75.137346692112004</v>
      </c>
      <c r="N87">
        <v>61.097499999999997</v>
      </c>
      <c r="O87">
        <v>22.306406313301402</v>
      </c>
      <c r="P87">
        <v>29.44575</v>
      </c>
      <c r="Q87">
        <v>10.839</v>
      </c>
      <c r="R87">
        <v>35</v>
      </c>
      <c r="S87">
        <v>26</v>
      </c>
      <c r="T87">
        <v>1.52564102564103</v>
      </c>
      <c r="U87">
        <v>0.74481497201506597</v>
      </c>
      <c r="V87">
        <v>131</v>
      </c>
      <c r="W87">
        <v>30.591259640102798</v>
      </c>
      <c r="Y87" s="30">
        <v>42.055639999999997</v>
      </c>
      <c r="Z87" s="30">
        <v>70.124089999999995</v>
      </c>
      <c r="AC87" s="21">
        <f t="shared" si="9"/>
        <v>0.85620915032679734</v>
      </c>
      <c r="AD87" s="21">
        <f t="shared" si="10"/>
        <v>16</v>
      </c>
      <c r="AE87" s="21">
        <f t="shared" si="11"/>
        <v>31</v>
      </c>
      <c r="AF87" s="21">
        <f t="shared" si="12"/>
        <v>31</v>
      </c>
      <c r="AG87" s="21">
        <f t="shared" si="13"/>
        <v>31</v>
      </c>
      <c r="AH87" s="21">
        <f t="shared" si="14"/>
        <v>30</v>
      </c>
      <c r="AI87" s="21">
        <f t="shared" si="15"/>
        <v>5</v>
      </c>
      <c r="AJ87" s="21" t="str">
        <f t="shared" si="16"/>
        <v>PASS</v>
      </c>
      <c r="AK87" s="21" t="str">
        <f t="shared" si="17"/>
        <v>PASS</v>
      </c>
    </row>
    <row r="88" spans="1:37" x14ac:dyDescent="0.25">
      <c r="A88" t="s">
        <v>46</v>
      </c>
      <c r="B88" t="s">
        <v>47</v>
      </c>
      <c r="C88">
        <v>28.6</v>
      </c>
      <c r="D88" t="s">
        <v>52</v>
      </c>
      <c r="E88" t="s">
        <v>53</v>
      </c>
      <c r="F88" t="s">
        <v>32</v>
      </c>
      <c r="G88">
        <v>2010</v>
      </c>
      <c r="H88" s="12">
        <v>40299</v>
      </c>
      <c r="I88" s="12">
        <v>40451</v>
      </c>
      <c r="J88">
        <v>1398.3035</v>
      </c>
      <c r="K88">
        <v>-11930.672</v>
      </c>
      <c r="L88">
        <v>9.1392385620914904</v>
      </c>
      <c r="M88">
        <v>-77.978248366013105</v>
      </c>
      <c r="N88">
        <v>66.235500000000002</v>
      </c>
      <c r="O88">
        <v>25.723050626361701</v>
      </c>
      <c r="P88">
        <v>34.770000000000003</v>
      </c>
      <c r="Q88">
        <v>12.304</v>
      </c>
      <c r="R88">
        <v>27</v>
      </c>
      <c r="S88">
        <v>67</v>
      </c>
      <c r="T88">
        <v>0.55161691542288604</v>
      </c>
      <c r="U88">
        <v>6.1699224255813E-2</v>
      </c>
      <c r="V88">
        <v>153</v>
      </c>
      <c r="W88">
        <v>24.155773420479299</v>
      </c>
      <c r="Y88" s="19">
        <v>38.187489999999997</v>
      </c>
      <c r="Z88" s="19">
        <v>-75.182500000000005</v>
      </c>
      <c r="AC88" s="21">
        <f t="shared" si="9"/>
        <v>1</v>
      </c>
      <c r="AD88" s="21">
        <f t="shared" si="10"/>
        <v>31</v>
      </c>
      <c r="AE88" s="21">
        <f t="shared" si="11"/>
        <v>31</v>
      </c>
      <c r="AF88" s="21">
        <f t="shared" si="12"/>
        <v>31</v>
      </c>
      <c r="AG88" s="21">
        <f t="shared" si="13"/>
        <v>31</v>
      </c>
      <c r="AH88" s="21">
        <f t="shared" si="14"/>
        <v>30</v>
      </c>
      <c r="AI88" s="21">
        <f t="shared" si="15"/>
        <v>5</v>
      </c>
      <c r="AJ88" s="21" t="str">
        <f t="shared" si="16"/>
        <v>PASS</v>
      </c>
      <c r="AK88" s="21" t="str">
        <f t="shared" si="17"/>
        <v>PASS</v>
      </c>
    </row>
    <row r="89" spans="1:37" x14ac:dyDescent="0.25">
      <c r="A89" t="s">
        <v>46</v>
      </c>
      <c r="B89" t="s">
        <v>47</v>
      </c>
      <c r="C89">
        <v>28.6</v>
      </c>
      <c r="D89" t="s">
        <v>52</v>
      </c>
      <c r="E89" t="s">
        <v>53</v>
      </c>
      <c r="F89" t="s">
        <v>32</v>
      </c>
      <c r="G89">
        <v>2011</v>
      </c>
      <c r="H89" s="12">
        <v>40664</v>
      </c>
      <c r="I89" s="12">
        <v>40816</v>
      </c>
      <c r="J89">
        <v>1191.51</v>
      </c>
      <c r="K89">
        <v>-11741.937</v>
      </c>
      <c r="L89">
        <v>7.78764705882352</v>
      </c>
      <c r="M89">
        <v>-76.744686274509803</v>
      </c>
      <c r="N89">
        <v>95.444000000000003</v>
      </c>
      <c r="O89">
        <v>25.7149069716776</v>
      </c>
      <c r="P89">
        <v>35.421999999999997</v>
      </c>
      <c r="Q89">
        <v>14.372999999999999</v>
      </c>
      <c r="R89">
        <v>22</v>
      </c>
      <c r="S89">
        <v>61</v>
      </c>
      <c r="T89">
        <v>0.52663934426229497</v>
      </c>
      <c r="U89">
        <v>8.2618936840508E-2</v>
      </c>
      <c r="V89">
        <v>153</v>
      </c>
      <c r="W89">
        <v>20.9967320261438</v>
      </c>
      <c r="Y89" s="19">
        <v>38.187489999999997</v>
      </c>
      <c r="Z89" s="19">
        <v>-75.182500000000005</v>
      </c>
      <c r="AC89" s="21">
        <f t="shared" si="9"/>
        <v>1</v>
      </c>
      <c r="AD89" s="21">
        <f t="shared" si="10"/>
        <v>31</v>
      </c>
      <c r="AE89" s="21">
        <f t="shared" si="11"/>
        <v>31</v>
      </c>
      <c r="AF89" s="21">
        <f t="shared" si="12"/>
        <v>31</v>
      </c>
      <c r="AG89" s="21">
        <f t="shared" si="13"/>
        <v>31</v>
      </c>
      <c r="AH89" s="21">
        <f t="shared" si="14"/>
        <v>30</v>
      </c>
      <c r="AI89" s="21">
        <f t="shared" si="15"/>
        <v>5</v>
      </c>
      <c r="AJ89" s="21" t="str">
        <f t="shared" si="16"/>
        <v>PASS</v>
      </c>
      <c r="AK89" s="21" t="str">
        <f t="shared" si="17"/>
        <v>PASS</v>
      </c>
    </row>
    <row r="90" spans="1:37" x14ac:dyDescent="0.25">
      <c r="A90" t="s">
        <v>46</v>
      </c>
      <c r="B90" t="s">
        <v>47</v>
      </c>
      <c r="C90">
        <v>28.6</v>
      </c>
      <c r="D90" t="s">
        <v>52</v>
      </c>
      <c r="E90" t="s">
        <v>53</v>
      </c>
      <c r="F90" t="s">
        <v>32</v>
      </c>
      <c r="G90">
        <v>2012</v>
      </c>
      <c r="H90" s="12">
        <v>41030</v>
      </c>
      <c r="I90" s="12">
        <v>41182</v>
      </c>
      <c r="J90">
        <v>1082.5934999999999</v>
      </c>
      <c r="K90">
        <v>-13050.747499999999</v>
      </c>
      <c r="L90">
        <v>7.0757745098039102</v>
      </c>
      <c r="M90">
        <v>-85.299003267973902</v>
      </c>
      <c r="N90">
        <v>60.795000000000002</v>
      </c>
      <c r="O90">
        <v>25.328696486928099</v>
      </c>
      <c r="P90">
        <v>33.874000000000002</v>
      </c>
      <c r="Q90">
        <v>15.831</v>
      </c>
      <c r="R90">
        <v>25</v>
      </c>
      <c r="S90">
        <v>59</v>
      </c>
      <c r="T90">
        <v>0.524011299435028</v>
      </c>
      <c r="U90">
        <v>0.10442182556721299</v>
      </c>
      <c r="V90">
        <v>153</v>
      </c>
      <c r="W90">
        <v>20.206971677559899</v>
      </c>
      <c r="Y90" s="19">
        <v>38.187489999999997</v>
      </c>
      <c r="Z90" s="19">
        <v>-75.182500000000005</v>
      </c>
      <c r="AC90" s="21">
        <f t="shared" si="9"/>
        <v>1</v>
      </c>
      <c r="AD90" s="21">
        <f t="shared" si="10"/>
        <v>31</v>
      </c>
      <c r="AE90" s="21">
        <f t="shared" si="11"/>
        <v>31</v>
      </c>
      <c r="AF90" s="21">
        <f t="shared" si="12"/>
        <v>31</v>
      </c>
      <c r="AG90" s="21">
        <f t="shared" si="13"/>
        <v>31</v>
      </c>
      <c r="AH90" s="21">
        <f t="shared" si="14"/>
        <v>30</v>
      </c>
      <c r="AI90" s="21">
        <f t="shared" si="15"/>
        <v>5</v>
      </c>
      <c r="AJ90" s="21" t="str">
        <f t="shared" si="16"/>
        <v>PASS</v>
      </c>
      <c r="AK90" s="21" t="str">
        <f t="shared" si="17"/>
        <v>PASS</v>
      </c>
    </row>
    <row r="91" spans="1:37" x14ac:dyDescent="0.25">
      <c r="A91" t="s">
        <v>46</v>
      </c>
      <c r="B91" t="s">
        <v>47</v>
      </c>
      <c r="C91">
        <v>28.6</v>
      </c>
      <c r="D91" t="s">
        <v>52</v>
      </c>
      <c r="E91" t="s">
        <v>53</v>
      </c>
      <c r="F91" t="s">
        <v>32</v>
      </c>
      <c r="G91">
        <v>2013</v>
      </c>
      <c r="H91" s="12">
        <v>41395</v>
      </c>
      <c r="I91" s="12">
        <v>41547</v>
      </c>
      <c r="J91">
        <v>574.58599999999899</v>
      </c>
      <c r="K91">
        <v>-16992.2755</v>
      </c>
      <c r="L91">
        <v>3.75546405228758</v>
      </c>
      <c r="M91">
        <v>-111.06062418300699</v>
      </c>
      <c r="N91">
        <v>68.183499999999995</v>
      </c>
      <c r="O91">
        <v>24.113903758169901</v>
      </c>
      <c r="P91">
        <v>33.847999999999999</v>
      </c>
      <c r="Q91">
        <v>12.425000000000001</v>
      </c>
      <c r="R91">
        <v>13</v>
      </c>
      <c r="S91">
        <v>33</v>
      </c>
      <c r="T91">
        <v>0.51388888888888895</v>
      </c>
      <c r="U91">
        <v>0.114463704003633</v>
      </c>
      <c r="V91">
        <v>153</v>
      </c>
      <c r="W91">
        <v>11.0838779956427</v>
      </c>
      <c r="Y91" s="19">
        <v>38.187489999999997</v>
      </c>
      <c r="Z91" s="19">
        <v>-75.182500000000005</v>
      </c>
      <c r="AC91" s="21">
        <f t="shared" si="9"/>
        <v>1</v>
      </c>
      <c r="AD91" s="21">
        <f t="shared" si="10"/>
        <v>31</v>
      </c>
      <c r="AE91" s="21">
        <f t="shared" si="11"/>
        <v>31</v>
      </c>
      <c r="AF91" s="21">
        <f t="shared" si="12"/>
        <v>31</v>
      </c>
      <c r="AG91" s="21">
        <f t="shared" si="13"/>
        <v>31</v>
      </c>
      <c r="AH91" s="21">
        <f t="shared" si="14"/>
        <v>30</v>
      </c>
      <c r="AI91" s="21">
        <f t="shared" si="15"/>
        <v>5</v>
      </c>
      <c r="AJ91" s="21" t="str">
        <f t="shared" si="16"/>
        <v>PASS</v>
      </c>
      <c r="AK91" s="21" t="str">
        <f t="shared" si="17"/>
        <v>PASS</v>
      </c>
    </row>
    <row r="92" spans="1:37" x14ac:dyDescent="0.25">
      <c r="A92" t="s">
        <v>46</v>
      </c>
      <c r="B92" t="s">
        <v>47</v>
      </c>
      <c r="C92">
        <v>28.6</v>
      </c>
      <c r="D92" t="s">
        <v>52</v>
      </c>
      <c r="E92" t="s">
        <v>53</v>
      </c>
      <c r="F92" t="s">
        <v>32</v>
      </c>
      <c r="G92">
        <v>2014</v>
      </c>
      <c r="H92" s="12">
        <v>41760</v>
      </c>
      <c r="I92" s="12">
        <v>41912</v>
      </c>
      <c r="J92">
        <v>145.53399999999999</v>
      </c>
      <c r="K92">
        <v>-15356.9915</v>
      </c>
      <c r="L92">
        <v>0.95120261437908304</v>
      </c>
      <c r="M92">
        <v>-100.372493464052</v>
      </c>
      <c r="N92">
        <v>21.003499999999999</v>
      </c>
      <c r="O92">
        <v>24.381956835512</v>
      </c>
      <c r="P92">
        <v>31.013500000000001</v>
      </c>
      <c r="Q92">
        <v>14.313499999999999</v>
      </c>
      <c r="R92">
        <v>9</v>
      </c>
      <c r="S92">
        <v>28</v>
      </c>
      <c r="T92">
        <v>0.29910714285714302</v>
      </c>
      <c r="U92">
        <v>3.06885611856588E-2</v>
      </c>
      <c r="V92">
        <v>153</v>
      </c>
      <c r="W92">
        <v>5.5174306889925901</v>
      </c>
      <c r="Y92" s="19">
        <v>38.187489999999997</v>
      </c>
      <c r="Z92" s="19">
        <v>-75.182500000000005</v>
      </c>
      <c r="AC92" s="21">
        <f t="shared" si="9"/>
        <v>1</v>
      </c>
      <c r="AD92" s="21">
        <f t="shared" si="10"/>
        <v>31</v>
      </c>
      <c r="AE92" s="21">
        <f t="shared" si="11"/>
        <v>31</v>
      </c>
      <c r="AF92" s="21">
        <f t="shared" si="12"/>
        <v>31</v>
      </c>
      <c r="AG92" s="21">
        <f t="shared" si="13"/>
        <v>31</v>
      </c>
      <c r="AH92" s="21">
        <f t="shared" si="14"/>
        <v>30</v>
      </c>
      <c r="AI92" s="21">
        <f t="shared" si="15"/>
        <v>5</v>
      </c>
      <c r="AJ92" s="21" t="str">
        <f t="shared" si="16"/>
        <v>PASS</v>
      </c>
      <c r="AK92" s="21" t="str">
        <f t="shared" si="17"/>
        <v>PASS</v>
      </c>
    </row>
    <row r="93" spans="1:37" x14ac:dyDescent="0.25">
      <c r="A93" t="s">
        <v>46</v>
      </c>
      <c r="B93" t="s">
        <v>47</v>
      </c>
      <c r="C93">
        <v>28.6</v>
      </c>
      <c r="D93" t="s">
        <v>52</v>
      </c>
      <c r="E93" t="s">
        <v>53</v>
      </c>
      <c r="F93" t="s">
        <v>32</v>
      </c>
      <c r="G93">
        <v>2015</v>
      </c>
      <c r="H93" s="12">
        <v>42125</v>
      </c>
      <c r="I93" s="12">
        <v>42277</v>
      </c>
      <c r="J93">
        <v>743.16499999999905</v>
      </c>
      <c r="K93">
        <v>-12675.293</v>
      </c>
      <c r="L93">
        <v>4.8572875816993397</v>
      </c>
      <c r="M93">
        <v>-82.845052287581694</v>
      </c>
      <c r="N93">
        <v>40.119500000000002</v>
      </c>
      <c r="O93">
        <v>25.300744794584499</v>
      </c>
      <c r="P93">
        <v>32.381500000000003</v>
      </c>
      <c r="Q93">
        <v>10.846</v>
      </c>
      <c r="R93">
        <v>20</v>
      </c>
      <c r="S93">
        <v>70</v>
      </c>
      <c r="T93">
        <v>0.38928571428571401</v>
      </c>
      <c r="U93">
        <v>2.95770657719557E-2</v>
      </c>
      <c r="V93">
        <v>153</v>
      </c>
      <c r="W93">
        <v>17.952237167169901</v>
      </c>
      <c r="Y93" s="19">
        <v>38.187489999999997</v>
      </c>
      <c r="Z93" s="19">
        <v>-75.182500000000005</v>
      </c>
      <c r="AC93" s="21">
        <f t="shared" si="9"/>
        <v>1</v>
      </c>
      <c r="AD93" s="21">
        <f t="shared" si="10"/>
        <v>31</v>
      </c>
      <c r="AE93" s="21">
        <f t="shared" si="11"/>
        <v>31</v>
      </c>
      <c r="AF93" s="21">
        <f t="shared" si="12"/>
        <v>31</v>
      </c>
      <c r="AG93" s="21">
        <f t="shared" si="13"/>
        <v>31</v>
      </c>
      <c r="AH93" s="21">
        <f t="shared" si="14"/>
        <v>30</v>
      </c>
      <c r="AI93" s="21">
        <f t="shared" si="15"/>
        <v>5</v>
      </c>
      <c r="AJ93" s="21" t="str">
        <f t="shared" si="16"/>
        <v>PASS</v>
      </c>
      <c r="AK93" s="21" t="str">
        <f t="shared" si="17"/>
        <v>PASS</v>
      </c>
    </row>
    <row r="94" spans="1:37" x14ac:dyDescent="0.25">
      <c r="A94" t="s">
        <v>46</v>
      </c>
      <c r="B94" t="s">
        <v>47</v>
      </c>
      <c r="C94">
        <v>28.6</v>
      </c>
      <c r="D94" t="s">
        <v>52</v>
      </c>
      <c r="E94" t="s">
        <v>53</v>
      </c>
      <c r="F94" t="s">
        <v>32</v>
      </c>
      <c r="G94">
        <v>2016</v>
      </c>
      <c r="H94" s="12">
        <v>42491</v>
      </c>
      <c r="I94" s="12">
        <v>42643</v>
      </c>
      <c r="J94">
        <v>1825.3185000000001</v>
      </c>
      <c r="K94">
        <v>-14624.471</v>
      </c>
      <c r="L94">
        <v>11.930186274509801</v>
      </c>
      <c r="M94">
        <v>-95.584777777777802</v>
      </c>
      <c r="N94">
        <v>77.140999999999906</v>
      </c>
      <c r="O94">
        <v>25.055591795051399</v>
      </c>
      <c r="P94">
        <v>36.011499999999998</v>
      </c>
      <c r="Q94">
        <v>10.9315</v>
      </c>
      <c r="R94">
        <v>30</v>
      </c>
      <c r="S94">
        <v>55</v>
      </c>
      <c r="T94">
        <v>0.74166666666666703</v>
      </c>
      <c r="U94">
        <v>0.13363986929494601</v>
      </c>
      <c r="V94">
        <v>153</v>
      </c>
      <c r="W94">
        <v>27.285395763656599</v>
      </c>
      <c r="Y94" s="19">
        <v>38.187489999999997</v>
      </c>
      <c r="Z94" s="19">
        <v>-75.182500000000005</v>
      </c>
      <c r="AC94" s="21">
        <f t="shared" si="9"/>
        <v>1</v>
      </c>
      <c r="AD94" s="21">
        <f t="shared" si="10"/>
        <v>31</v>
      </c>
      <c r="AE94" s="21">
        <f t="shared" si="11"/>
        <v>31</v>
      </c>
      <c r="AF94" s="21">
        <f t="shared" si="12"/>
        <v>31</v>
      </c>
      <c r="AG94" s="21">
        <f t="shared" si="13"/>
        <v>31</v>
      </c>
      <c r="AH94" s="21">
        <f t="shared" si="14"/>
        <v>30</v>
      </c>
      <c r="AI94" s="21">
        <f t="shared" si="15"/>
        <v>5</v>
      </c>
      <c r="AJ94" s="21" t="str">
        <f t="shared" si="16"/>
        <v>PASS</v>
      </c>
      <c r="AK94" s="21" t="str">
        <f t="shared" si="17"/>
        <v>PASS</v>
      </c>
    </row>
    <row r="95" spans="1:37" x14ac:dyDescent="0.25">
      <c r="A95" t="s">
        <v>46</v>
      </c>
      <c r="B95" t="s">
        <v>47</v>
      </c>
      <c r="C95">
        <v>28.6</v>
      </c>
      <c r="D95" t="s">
        <v>52</v>
      </c>
      <c r="E95" t="s">
        <v>53</v>
      </c>
      <c r="F95" t="s">
        <v>32</v>
      </c>
      <c r="G95">
        <v>2017</v>
      </c>
      <c r="H95" s="12">
        <v>42856</v>
      </c>
      <c r="I95" s="12">
        <v>43008</v>
      </c>
      <c r="J95">
        <v>694.74199999999905</v>
      </c>
      <c r="K95">
        <v>-15447.868</v>
      </c>
      <c r="L95">
        <v>4.5407973856209098</v>
      </c>
      <c r="M95">
        <v>-100.96645751634</v>
      </c>
      <c r="N95">
        <v>48.729500000000002</v>
      </c>
      <c r="O95">
        <v>24.4952676820728</v>
      </c>
      <c r="P95">
        <v>33.808500000000002</v>
      </c>
      <c r="Q95">
        <v>13.786</v>
      </c>
      <c r="R95">
        <v>24</v>
      </c>
      <c r="S95">
        <v>50</v>
      </c>
      <c r="T95">
        <v>0.42249999999999999</v>
      </c>
      <c r="U95">
        <v>4.40155932480705E-2</v>
      </c>
      <c r="V95">
        <v>153</v>
      </c>
      <c r="W95">
        <v>13.917101290145499</v>
      </c>
      <c r="Y95" s="19">
        <v>38.187489999999997</v>
      </c>
      <c r="Z95" s="19">
        <v>-75.182500000000005</v>
      </c>
      <c r="AC95" s="21">
        <f t="shared" si="9"/>
        <v>1</v>
      </c>
      <c r="AD95" s="21">
        <f t="shared" si="10"/>
        <v>31</v>
      </c>
      <c r="AE95" s="21">
        <f t="shared" si="11"/>
        <v>31</v>
      </c>
      <c r="AF95" s="21">
        <f t="shared" si="12"/>
        <v>31</v>
      </c>
      <c r="AG95" s="21">
        <f t="shared" si="13"/>
        <v>31</v>
      </c>
      <c r="AH95" s="21">
        <f t="shared" si="14"/>
        <v>30</v>
      </c>
      <c r="AI95" s="21">
        <f t="shared" si="15"/>
        <v>5</v>
      </c>
      <c r="AJ95" s="21" t="str">
        <f t="shared" si="16"/>
        <v>PASS</v>
      </c>
      <c r="AK95" s="21" t="str">
        <f t="shared" si="17"/>
        <v>PASS</v>
      </c>
    </row>
    <row r="96" spans="1:37" x14ac:dyDescent="0.25">
      <c r="A96" t="s">
        <v>46</v>
      </c>
      <c r="B96" t="s">
        <v>47</v>
      </c>
      <c r="C96">
        <v>28.6</v>
      </c>
      <c r="D96" t="s">
        <v>52</v>
      </c>
      <c r="E96" t="s">
        <v>53</v>
      </c>
      <c r="F96" t="s">
        <v>32</v>
      </c>
      <c r="G96">
        <v>2018</v>
      </c>
      <c r="H96" s="12">
        <v>43221</v>
      </c>
      <c r="I96" s="12">
        <v>43373</v>
      </c>
      <c r="J96">
        <v>1389.0205000000001</v>
      </c>
      <c r="K96">
        <v>-11395.780500000001</v>
      </c>
      <c r="L96">
        <v>9.0785653594771105</v>
      </c>
      <c r="M96">
        <v>-74.4822254901961</v>
      </c>
      <c r="N96">
        <v>71.313000000000002</v>
      </c>
      <c r="O96">
        <v>25.854388567391499</v>
      </c>
      <c r="P96">
        <v>34.743499999999997</v>
      </c>
      <c r="Q96">
        <v>13.666</v>
      </c>
      <c r="R96">
        <v>26</v>
      </c>
      <c r="S96">
        <v>58</v>
      </c>
      <c r="T96">
        <v>0.64152298850574696</v>
      </c>
      <c r="U96">
        <v>0.117270154966874</v>
      </c>
      <c r="V96">
        <v>153</v>
      </c>
      <c r="W96">
        <v>24.716302241904199</v>
      </c>
      <c r="Y96" s="19">
        <v>38.187489999999997</v>
      </c>
      <c r="Z96" s="19">
        <v>-75.182500000000005</v>
      </c>
      <c r="AC96" s="21">
        <f t="shared" si="9"/>
        <v>1</v>
      </c>
      <c r="AD96" s="21">
        <f t="shared" si="10"/>
        <v>31</v>
      </c>
      <c r="AE96" s="21">
        <f t="shared" si="11"/>
        <v>31</v>
      </c>
      <c r="AF96" s="21">
        <f t="shared" si="12"/>
        <v>31</v>
      </c>
      <c r="AG96" s="21">
        <f t="shared" si="13"/>
        <v>31</v>
      </c>
      <c r="AH96" s="21">
        <f t="shared" si="14"/>
        <v>30</v>
      </c>
      <c r="AI96" s="21">
        <f t="shared" si="15"/>
        <v>5</v>
      </c>
      <c r="AJ96" s="21" t="str">
        <f t="shared" si="16"/>
        <v>PASS</v>
      </c>
      <c r="AK96" s="21" t="str">
        <f t="shared" si="17"/>
        <v>PASS</v>
      </c>
    </row>
    <row r="97" spans="1:37" x14ac:dyDescent="0.25">
      <c r="A97" t="s">
        <v>46</v>
      </c>
      <c r="B97" t="s">
        <v>47</v>
      </c>
      <c r="C97">
        <v>28.6</v>
      </c>
      <c r="D97" t="s">
        <v>52</v>
      </c>
      <c r="E97" t="s">
        <v>53</v>
      </c>
      <c r="F97" t="s">
        <v>32</v>
      </c>
      <c r="G97">
        <v>2019</v>
      </c>
      <c r="H97" s="12">
        <v>43586</v>
      </c>
      <c r="I97" s="12">
        <v>43738</v>
      </c>
      <c r="J97">
        <v>1419.5709999999999</v>
      </c>
      <c r="K97">
        <v>-11989.502</v>
      </c>
      <c r="L97">
        <v>9.2782418300653493</v>
      </c>
      <c r="M97">
        <v>-78.362758169934693</v>
      </c>
      <c r="N97">
        <v>89.575500000000005</v>
      </c>
      <c r="O97">
        <v>25.710725762527201</v>
      </c>
      <c r="P97">
        <v>34.307499999999997</v>
      </c>
      <c r="Q97">
        <v>14.372999999999999</v>
      </c>
      <c r="R97">
        <v>28</v>
      </c>
      <c r="S97">
        <v>57</v>
      </c>
      <c r="T97">
        <v>0.63888888888888895</v>
      </c>
      <c r="U97">
        <v>0.120747660214689</v>
      </c>
      <c r="V97">
        <v>153</v>
      </c>
      <c r="W97">
        <v>23.801742919390001</v>
      </c>
      <c r="Y97" s="19">
        <v>38.187489999999997</v>
      </c>
      <c r="Z97" s="19">
        <v>-75.182500000000005</v>
      </c>
      <c r="AC97" s="21">
        <f t="shared" si="9"/>
        <v>1</v>
      </c>
      <c r="AD97" s="21">
        <f t="shared" si="10"/>
        <v>31</v>
      </c>
      <c r="AE97" s="21">
        <f t="shared" si="11"/>
        <v>31</v>
      </c>
      <c r="AF97" s="21">
        <f t="shared" si="12"/>
        <v>31</v>
      </c>
      <c r="AG97" s="21">
        <f t="shared" si="13"/>
        <v>31</v>
      </c>
      <c r="AH97" s="21">
        <f t="shared" si="14"/>
        <v>30</v>
      </c>
      <c r="AI97" s="21">
        <f t="shared" si="15"/>
        <v>5</v>
      </c>
      <c r="AJ97" s="21" t="str">
        <f t="shared" si="16"/>
        <v>PASS</v>
      </c>
      <c r="AK97" s="21" t="str">
        <f t="shared" si="17"/>
        <v>PASS</v>
      </c>
    </row>
    <row r="98" spans="1:37" x14ac:dyDescent="0.25">
      <c r="A98" t="s">
        <v>46</v>
      </c>
      <c r="B98" t="s">
        <v>47</v>
      </c>
      <c r="C98">
        <v>28.6</v>
      </c>
      <c r="D98" t="s">
        <v>52</v>
      </c>
      <c r="E98" t="s">
        <v>53</v>
      </c>
      <c r="F98" t="s">
        <v>32</v>
      </c>
      <c r="G98">
        <v>2020</v>
      </c>
      <c r="H98" s="12">
        <v>43952</v>
      </c>
      <c r="I98" s="12">
        <v>44097</v>
      </c>
      <c r="J98">
        <v>1451.6244999999999</v>
      </c>
      <c r="K98">
        <v>-14534.0785</v>
      </c>
      <c r="L98">
        <v>9.9426335616438308</v>
      </c>
      <c r="M98">
        <v>-99.548482876712399</v>
      </c>
      <c r="N98">
        <v>77.739999999999995</v>
      </c>
      <c r="O98">
        <v>24.822421375570801</v>
      </c>
      <c r="P98">
        <v>35.155000000000001</v>
      </c>
      <c r="Q98">
        <v>9.9275000000000002</v>
      </c>
      <c r="R98">
        <v>51</v>
      </c>
      <c r="S98">
        <v>52</v>
      </c>
      <c r="T98">
        <v>0.72836538461538503</v>
      </c>
      <c r="U98">
        <v>0.16549396689983201</v>
      </c>
      <c r="V98">
        <v>146</v>
      </c>
      <c r="W98">
        <v>26.0383844170725</v>
      </c>
      <c r="Y98" s="19">
        <v>38.187489999999997</v>
      </c>
      <c r="Z98" s="19">
        <v>-75.182500000000005</v>
      </c>
      <c r="AC98" s="21">
        <f t="shared" si="9"/>
        <v>0.95424836601307195</v>
      </c>
      <c r="AD98" s="21">
        <f t="shared" si="10"/>
        <v>31</v>
      </c>
      <c r="AE98" s="21">
        <f t="shared" si="11"/>
        <v>31</v>
      </c>
      <c r="AF98" s="21">
        <f t="shared" si="12"/>
        <v>31</v>
      </c>
      <c r="AG98" s="21">
        <f t="shared" si="13"/>
        <v>31</v>
      </c>
      <c r="AH98" s="21">
        <f t="shared" si="14"/>
        <v>23</v>
      </c>
      <c r="AI98" s="21">
        <f t="shared" si="15"/>
        <v>5</v>
      </c>
      <c r="AJ98" s="21" t="str">
        <f t="shared" si="16"/>
        <v>PASS</v>
      </c>
      <c r="AK98" s="21" t="str">
        <f t="shared" si="17"/>
        <v>PASS</v>
      </c>
    </row>
    <row r="99" spans="1:37" x14ac:dyDescent="0.25">
      <c r="A99" t="s">
        <v>46</v>
      </c>
      <c r="B99" t="s">
        <v>47</v>
      </c>
      <c r="C99">
        <v>28.6</v>
      </c>
      <c r="D99" t="s">
        <v>52</v>
      </c>
      <c r="E99" t="s">
        <v>53</v>
      </c>
      <c r="F99" t="s">
        <v>32</v>
      </c>
      <c r="G99">
        <v>2023</v>
      </c>
      <c r="H99" s="12">
        <v>45047</v>
      </c>
      <c r="I99" s="12">
        <v>45199</v>
      </c>
      <c r="J99">
        <v>888.69799999999896</v>
      </c>
      <c r="K99">
        <v>-15890.012500000001</v>
      </c>
      <c r="L99">
        <v>5.8084836601307099</v>
      </c>
      <c r="M99">
        <v>-103.856290849673</v>
      </c>
      <c r="N99">
        <v>47.609499999999997</v>
      </c>
      <c r="O99">
        <v>24.501723284313702</v>
      </c>
      <c r="P99">
        <v>33.209000000000003</v>
      </c>
      <c r="Q99">
        <v>12.484999999999999</v>
      </c>
      <c r="R99">
        <v>33</v>
      </c>
      <c r="S99">
        <v>59</v>
      </c>
      <c r="T99">
        <v>0.48587570621468901</v>
      </c>
      <c r="U99">
        <v>4.7744968783930801E-2</v>
      </c>
      <c r="V99">
        <v>153</v>
      </c>
      <c r="W99">
        <v>18.736383442265801</v>
      </c>
      <c r="Y99" s="19">
        <v>38.187489999999997</v>
      </c>
      <c r="Z99" s="19">
        <v>-75.182500000000005</v>
      </c>
      <c r="AC99" s="21">
        <f t="shared" si="9"/>
        <v>1</v>
      </c>
      <c r="AD99" s="21">
        <f t="shared" si="10"/>
        <v>31</v>
      </c>
      <c r="AE99" s="21">
        <f t="shared" si="11"/>
        <v>31</v>
      </c>
      <c r="AF99" s="21">
        <f t="shared" si="12"/>
        <v>31</v>
      </c>
      <c r="AG99" s="21">
        <f t="shared" si="13"/>
        <v>31</v>
      </c>
      <c r="AH99" s="21">
        <f t="shared" si="14"/>
        <v>30</v>
      </c>
      <c r="AI99" s="21">
        <f t="shared" si="15"/>
        <v>5</v>
      </c>
      <c r="AJ99" s="21" t="str">
        <f t="shared" si="16"/>
        <v>PASS</v>
      </c>
      <c r="AK99" s="21" t="str">
        <f t="shared" si="17"/>
        <v>PASS</v>
      </c>
    </row>
    <row r="100" spans="1:37" x14ac:dyDescent="0.25">
      <c r="A100" t="s">
        <v>46</v>
      </c>
      <c r="B100" t="s">
        <v>47</v>
      </c>
      <c r="C100">
        <v>28.6</v>
      </c>
      <c r="D100" t="s">
        <v>52</v>
      </c>
      <c r="E100" t="s">
        <v>53</v>
      </c>
      <c r="F100" t="s">
        <v>32</v>
      </c>
      <c r="G100">
        <v>2024</v>
      </c>
      <c r="H100" s="12">
        <v>45413</v>
      </c>
      <c r="I100" s="12">
        <v>45565</v>
      </c>
      <c r="J100">
        <v>612.78899999999896</v>
      </c>
      <c r="K100">
        <v>-13948.665999999999</v>
      </c>
      <c r="L100">
        <v>4.00515686274509</v>
      </c>
      <c r="M100">
        <v>-91.167751633986995</v>
      </c>
      <c r="N100">
        <v>50.758499999999898</v>
      </c>
      <c r="O100">
        <v>24.9605083605665</v>
      </c>
      <c r="P100">
        <v>33.783000000000001</v>
      </c>
      <c r="Q100">
        <v>14.29</v>
      </c>
      <c r="R100">
        <v>27</v>
      </c>
      <c r="S100">
        <v>52</v>
      </c>
      <c r="T100">
        <v>0.37339743589743601</v>
      </c>
      <c r="U100">
        <v>6.2619936230239495E-2</v>
      </c>
      <c r="V100">
        <v>153</v>
      </c>
      <c r="W100">
        <v>12.6906318082789</v>
      </c>
      <c r="Y100" s="19">
        <v>38.187489999999997</v>
      </c>
      <c r="Z100" s="19">
        <v>-75.182500000000005</v>
      </c>
      <c r="AC100" s="21">
        <f t="shared" si="9"/>
        <v>1</v>
      </c>
      <c r="AD100" s="21">
        <f t="shared" si="10"/>
        <v>31</v>
      </c>
      <c r="AE100" s="21">
        <f t="shared" si="11"/>
        <v>31</v>
      </c>
      <c r="AF100" s="21">
        <f t="shared" si="12"/>
        <v>31</v>
      </c>
      <c r="AG100" s="21">
        <f t="shared" si="13"/>
        <v>31</v>
      </c>
      <c r="AH100" s="21">
        <f t="shared" si="14"/>
        <v>30</v>
      </c>
      <c r="AI100" s="21">
        <f t="shared" si="15"/>
        <v>5</v>
      </c>
      <c r="AJ100" s="21" t="str">
        <f t="shared" si="16"/>
        <v>PASS</v>
      </c>
      <c r="AK100" s="21" t="str">
        <f t="shared" si="17"/>
        <v>PASS</v>
      </c>
    </row>
    <row r="101" spans="1:37" x14ac:dyDescent="0.25">
      <c r="A101" t="s">
        <v>46</v>
      </c>
      <c r="B101" t="s">
        <v>47</v>
      </c>
      <c r="C101">
        <v>28.6</v>
      </c>
      <c r="D101" t="s">
        <v>52</v>
      </c>
      <c r="E101" t="s">
        <v>53</v>
      </c>
      <c r="F101" t="s">
        <v>35</v>
      </c>
      <c r="G101">
        <v>2021</v>
      </c>
      <c r="H101" s="12">
        <v>44317</v>
      </c>
      <c r="I101" s="12">
        <v>44469</v>
      </c>
      <c r="J101">
        <v>761.39149999999904</v>
      </c>
      <c r="K101">
        <v>-13151.546</v>
      </c>
      <c r="L101">
        <v>4.9764150326797303</v>
      </c>
      <c r="M101">
        <v>-85.957816993464107</v>
      </c>
      <c r="N101">
        <v>52.191000000000003</v>
      </c>
      <c r="O101">
        <v>25.210690740740699</v>
      </c>
      <c r="P101">
        <v>32.265000000000001</v>
      </c>
      <c r="Q101">
        <v>12.641999999999999</v>
      </c>
      <c r="R101">
        <v>18</v>
      </c>
      <c r="S101">
        <v>45</v>
      </c>
      <c r="T101">
        <v>0.625925925925926</v>
      </c>
      <c r="U101">
        <v>0.12990846034164899</v>
      </c>
      <c r="V101">
        <v>153</v>
      </c>
      <c r="W101">
        <v>18.409586056644901</v>
      </c>
      <c r="Y101" s="19">
        <v>38.187489999999997</v>
      </c>
      <c r="Z101" s="19">
        <v>-75.182500000000005</v>
      </c>
      <c r="AC101" s="21">
        <f t="shared" si="9"/>
        <v>1</v>
      </c>
      <c r="AD101" s="21">
        <f t="shared" si="10"/>
        <v>31</v>
      </c>
      <c r="AE101" s="21">
        <f t="shared" si="11"/>
        <v>31</v>
      </c>
      <c r="AF101" s="21">
        <f t="shared" si="12"/>
        <v>31</v>
      </c>
      <c r="AG101" s="21">
        <f t="shared" si="13"/>
        <v>31</v>
      </c>
      <c r="AH101" s="21">
        <f t="shared" si="14"/>
        <v>30</v>
      </c>
      <c r="AI101" s="21">
        <f t="shared" si="15"/>
        <v>5</v>
      </c>
      <c r="AJ101" s="21" t="str">
        <f t="shared" si="16"/>
        <v>PASS</v>
      </c>
      <c r="AK101" s="21" t="str">
        <f t="shared" si="17"/>
        <v>PASS</v>
      </c>
    </row>
    <row r="102" spans="1:37" x14ac:dyDescent="0.25">
      <c r="A102" t="s">
        <v>46</v>
      </c>
      <c r="B102" t="s">
        <v>47</v>
      </c>
      <c r="C102">
        <v>28.6</v>
      </c>
      <c r="D102" t="s">
        <v>52</v>
      </c>
      <c r="E102" t="s">
        <v>53</v>
      </c>
      <c r="F102" t="s">
        <v>35</v>
      </c>
      <c r="G102">
        <v>2022</v>
      </c>
      <c r="H102" s="12">
        <v>44682</v>
      </c>
      <c r="I102" s="12">
        <v>44834</v>
      </c>
      <c r="J102">
        <v>749.81699999999898</v>
      </c>
      <c r="K102">
        <v>-14938.469499999999</v>
      </c>
      <c r="L102">
        <v>4.9007647058823496</v>
      </c>
      <c r="M102">
        <v>-97.637055555555605</v>
      </c>
      <c r="N102">
        <v>50.579000000000001</v>
      </c>
      <c r="O102">
        <v>24.721162037037001</v>
      </c>
      <c r="P102">
        <v>33.469000000000001</v>
      </c>
      <c r="Q102">
        <v>8.2949999999999999</v>
      </c>
      <c r="R102">
        <v>32</v>
      </c>
      <c r="S102">
        <v>47</v>
      </c>
      <c r="T102">
        <v>0.53723404255319196</v>
      </c>
      <c r="U102">
        <v>9.7575004905824297E-2</v>
      </c>
      <c r="V102">
        <v>153</v>
      </c>
      <c r="W102">
        <v>16.5032679738562</v>
      </c>
      <c r="Y102" s="19">
        <v>38.187489999999997</v>
      </c>
      <c r="Z102" s="19">
        <v>-75.182500000000005</v>
      </c>
      <c r="AC102" s="21">
        <f t="shared" si="9"/>
        <v>1</v>
      </c>
      <c r="AD102" s="21">
        <f t="shared" si="10"/>
        <v>31</v>
      </c>
      <c r="AE102" s="21">
        <f t="shared" si="11"/>
        <v>31</v>
      </c>
      <c r="AF102" s="21">
        <f t="shared" si="12"/>
        <v>31</v>
      </c>
      <c r="AG102" s="21">
        <f t="shared" si="13"/>
        <v>31</v>
      </c>
      <c r="AH102" s="21">
        <f t="shared" si="14"/>
        <v>30</v>
      </c>
      <c r="AI102" s="21">
        <f t="shared" si="15"/>
        <v>5</v>
      </c>
      <c r="AJ102" s="21" t="str">
        <f t="shared" si="16"/>
        <v>PASS</v>
      </c>
      <c r="AK102" s="21" t="str">
        <f t="shared" si="17"/>
        <v>PASS</v>
      </c>
    </row>
    <row r="103" spans="1:37" x14ac:dyDescent="0.25">
      <c r="A103" t="s">
        <v>46</v>
      </c>
      <c r="B103" t="s">
        <v>47</v>
      </c>
      <c r="C103">
        <v>28.6</v>
      </c>
      <c r="D103" t="s">
        <v>52</v>
      </c>
      <c r="E103" t="s">
        <v>53</v>
      </c>
      <c r="F103" t="s">
        <v>35</v>
      </c>
      <c r="G103">
        <v>2023</v>
      </c>
      <c r="H103" s="12">
        <v>45047</v>
      </c>
      <c r="I103" s="12">
        <v>45199</v>
      </c>
      <c r="J103">
        <v>708.73649999999895</v>
      </c>
      <c r="K103">
        <v>-15973.777</v>
      </c>
      <c r="L103">
        <v>4.6322647058823501</v>
      </c>
      <c r="M103">
        <v>-104.40377124183</v>
      </c>
      <c r="N103">
        <v>51.371499999999997</v>
      </c>
      <c r="O103">
        <v>24.429978267973901</v>
      </c>
      <c r="P103">
        <v>32.162500000000001</v>
      </c>
      <c r="Q103">
        <v>12.545999999999999</v>
      </c>
      <c r="R103">
        <v>32</v>
      </c>
      <c r="S103">
        <v>51</v>
      </c>
      <c r="T103">
        <v>0.53676470588235303</v>
      </c>
      <c r="U103">
        <v>5.2350095391553997E-2</v>
      </c>
      <c r="V103">
        <v>153</v>
      </c>
      <c r="W103">
        <v>17.8921568627451</v>
      </c>
      <c r="Y103" s="19">
        <v>38.187489999999997</v>
      </c>
      <c r="Z103" s="19">
        <v>-75.182500000000005</v>
      </c>
      <c r="AC103" s="21">
        <f t="shared" si="9"/>
        <v>1</v>
      </c>
      <c r="AD103" s="21">
        <f t="shared" si="10"/>
        <v>31</v>
      </c>
      <c r="AE103" s="21">
        <f t="shared" si="11"/>
        <v>31</v>
      </c>
      <c r="AF103" s="21">
        <f t="shared" si="12"/>
        <v>31</v>
      </c>
      <c r="AG103" s="21">
        <f t="shared" si="13"/>
        <v>31</v>
      </c>
      <c r="AH103" s="21">
        <f t="shared" si="14"/>
        <v>30</v>
      </c>
      <c r="AI103" s="21">
        <f t="shared" si="15"/>
        <v>5</v>
      </c>
      <c r="AJ103" s="21" t="str">
        <f t="shared" si="16"/>
        <v>PASS</v>
      </c>
      <c r="AK103" s="21" t="str">
        <f t="shared" si="17"/>
        <v>PASS</v>
      </c>
    </row>
    <row r="104" spans="1:37" x14ac:dyDescent="0.25">
      <c r="A104" t="s">
        <v>46</v>
      </c>
      <c r="B104" t="s">
        <v>47</v>
      </c>
      <c r="C104">
        <v>28.6</v>
      </c>
      <c r="D104" t="s">
        <v>52</v>
      </c>
      <c r="E104" t="s">
        <v>53</v>
      </c>
      <c r="F104" t="s">
        <v>35</v>
      </c>
      <c r="G104">
        <v>2024</v>
      </c>
      <c r="H104" s="12">
        <v>45413</v>
      </c>
      <c r="I104" s="12">
        <v>45565</v>
      </c>
      <c r="J104">
        <v>475.70399999999898</v>
      </c>
      <c r="K104">
        <v>-14063.189</v>
      </c>
      <c r="L104">
        <v>3.1091764705882299</v>
      </c>
      <c r="M104">
        <v>-91.916267973856193</v>
      </c>
      <c r="N104">
        <v>48.065999999999903</v>
      </c>
      <c r="O104">
        <v>24.891759449891101</v>
      </c>
      <c r="P104">
        <v>33.338999999999999</v>
      </c>
      <c r="Q104">
        <v>14.733000000000001</v>
      </c>
      <c r="R104">
        <v>13</v>
      </c>
      <c r="S104">
        <v>38</v>
      </c>
      <c r="T104">
        <v>0.45065789473684198</v>
      </c>
      <c r="U104">
        <v>9.1509402998712006E-2</v>
      </c>
      <c r="V104">
        <v>153</v>
      </c>
      <c r="W104">
        <v>11.1928104575163</v>
      </c>
      <c r="Y104" s="19">
        <v>38.187489999999997</v>
      </c>
      <c r="Z104" s="19">
        <v>-75.182500000000005</v>
      </c>
      <c r="AC104" s="21">
        <f t="shared" si="9"/>
        <v>1</v>
      </c>
      <c r="AD104" s="21">
        <f t="shared" si="10"/>
        <v>31</v>
      </c>
      <c r="AE104" s="21">
        <f t="shared" si="11"/>
        <v>31</v>
      </c>
      <c r="AF104" s="21">
        <f t="shared" si="12"/>
        <v>31</v>
      </c>
      <c r="AG104" s="21">
        <f t="shared" si="13"/>
        <v>31</v>
      </c>
      <c r="AH104" s="21">
        <f t="shared" si="14"/>
        <v>30</v>
      </c>
      <c r="AI104" s="21">
        <f t="shared" si="15"/>
        <v>5</v>
      </c>
      <c r="AJ104" s="21" t="str">
        <f t="shared" si="16"/>
        <v>PASS</v>
      </c>
      <c r="AK104" s="21" t="str">
        <f t="shared" si="17"/>
        <v>PASS</v>
      </c>
    </row>
    <row r="105" spans="1:37" x14ac:dyDescent="0.25">
      <c r="A105" t="s">
        <v>46</v>
      </c>
      <c r="B105" t="s">
        <v>47</v>
      </c>
      <c r="C105">
        <v>28.6</v>
      </c>
      <c r="D105" t="s">
        <v>52</v>
      </c>
      <c r="E105" t="s">
        <v>53</v>
      </c>
      <c r="F105" t="s">
        <v>37</v>
      </c>
      <c r="G105">
        <v>2010</v>
      </c>
      <c r="H105" s="12">
        <v>40299</v>
      </c>
      <c r="I105" s="12">
        <v>40451</v>
      </c>
      <c r="J105">
        <v>858.76749999999902</v>
      </c>
      <c r="K105">
        <v>-12120.117</v>
      </c>
      <c r="L105">
        <v>5.6128594771241804</v>
      </c>
      <c r="M105">
        <v>-79.216450980392196</v>
      </c>
      <c r="N105">
        <v>61.188000000000002</v>
      </c>
      <c r="O105">
        <v>25.497744489184601</v>
      </c>
      <c r="P105">
        <v>32.845999999999997</v>
      </c>
      <c r="Q105">
        <v>12.944000000000001</v>
      </c>
      <c r="R105">
        <v>24</v>
      </c>
      <c r="S105">
        <v>51</v>
      </c>
      <c r="T105">
        <v>0.61356209150326801</v>
      </c>
      <c r="U105">
        <v>8.7486992741365593E-2</v>
      </c>
      <c r="V105">
        <v>153</v>
      </c>
      <c r="W105">
        <v>20.954241071428601</v>
      </c>
      <c r="Y105" s="19">
        <v>38.187489999999997</v>
      </c>
      <c r="Z105" s="19">
        <v>-75.182500000000005</v>
      </c>
      <c r="AC105" s="21">
        <f t="shared" si="9"/>
        <v>1</v>
      </c>
      <c r="AD105" s="21">
        <f t="shared" si="10"/>
        <v>31</v>
      </c>
      <c r="AE105" s="21">
        <f t="shared" si="11"/>
        <v>31</v>
      </c>
      <c r="AF105" s="21">
        <f t="shared" si="12"/>
        <v>31</v>
      </c>
      <c r="AG105" s="21">
        <f t="shared" si="13"/>
        <v>31</v>
      </c>
      <c r="AH105" s="21">
        <f t="shared" si="14"/>
        <v>30</v>
      </c>
      <c r="AI105" s="21">
        <f t="shared" si="15"/>
        <v>5</v>
      </c>
      <c r="AJ105" s="21" t="str">
        <f t="shared" si="16"/>
        <v>PASS</v>
      </c>
      <c r="AK105" s="21" t="str">
        <f t="shared" si="17"/>
        <v>PASS</v>
      </c>
    </row>
    <row r="106" spans="1:37" x14ac:dyDescent="0.25">
      <c r="A106" t="s">
        <v>46</v>
      </c>
      <c r="B106" t="s">
        <v>47</v>
      </c>
      <c r="C106">
        <v>28.6</v>
      </c>
      <c r="D106" t="s">
        <v>52</v>
      </c>
      <c r="E106" t="s">
        <v>53</v>
      </c>
      <c r="F106" t="s">
        <v>37</v>
      </c>
      <c r="G106">
        <v>2012</v>
      </c>
      <c r="H106" s="12">
        <v>41030</v>
      </c>
      <c r="I106" s="12">
        <v>41182</v>
      </c>
      <c r="J106">
        <v>795.04649999999901</v>
      </c>
      <c r="K106">
        <v>-13531.767</v>
      </c>
      <c r="L106">
        <v>5.1963823529411703</v>
      </c>
      <c r="M106">
        <v>-88.442921568627497</v>
      </c>
      <c r="N106">
        <v>62.1905</v>
      </c>
      <c r="O106">
        <v>25.1188667211329</v>
      </c>
      <c r="P106">
        <v>32.536000000000001</v>
      </c>
      <c r="Q106">
        <v>15.712</v>
      </c>
      <c r="R106">
        <v>15</v>
      </c>
      <c r="S106">
        <v>42</v>
      </c>
      <c r="T106">
        <v>0.62202380952380998</v>
      </c>
      <c r="U106">
        <v>0.14873667399936499</v>
      </c>
      <c r="V106">
        <v>153</v>
      </c>
      <c r="W106">
        <v>17.075163398692801</v>
      </c>
      <c r="Y106" s="19">
        <v>38.187489999999997</v>
      </c>
      <c r="Z106" s="19">
        <v>-75.182500000000005</v>
      </c>
      <c r="AC106" s="21">
        <f t="shared" si="9"/>
        <v>1</v>
      </c>
      <c r="AD106" s="21">
        <f t="shared" si="10"/>
        <v>31</v>
      </c>
      <c r="AE106" s="21">
        <f t="shared" si="11"/>
        <v>31</v>
      </c>
      <c r="AF106" s="21">
        <f t="shared" si="12"/>
        <v>31</v>
      </c>
      <c r="AG106" s="21">
        <f t="shared" si="13"/>
        <v>31</v>
      </c>
      <c r="AH106" s="21">
        <f t="shared" si="14"/>
        <v>30</v>
      </c>
      <c r="AI106" s="21">
        <f t="shared" si="15"/>
        <v>5</v>
      </c>
      <c r="AJ106" s="21" t="str">
        <f t="shared" si="16"/>
        <v>PASS</v>
      </c>
      <c r="AK106" s="21" t="str">
        <f t="shared" si="17"/>
        <v>PASS</v>
      </c>
    </row>
    <row r="107" spans="1:37" x14ac:dyDescent="0.25">
      <c r="A107" t="s">
        <v>46</v>
      </c>
      <c r="B107" t="s">
        <v>47</v>
      </c>
      <c r="C107">
        <v>28.6</v>
      </c>
      <c r="D107" t="s">
        <v>52</v>
      </c>
      <c r="E107" t="s">
        <v>53</v>
      </c>
      <c r="F107" t="s">
        <v>37</v>
      </c>
      <c r="G107">
        <v>2013</v>
      </c>
      <c r="H107" s="12">
        <v>41395</v>
      </c>
      <c r="I107" s="12">
        <v>41547</v>
      </c>
      <c r="J107">
        <v>526.91949999999895</v>
      </c>
      <c r="K107">
        <v>-17269.129000000001</v>
      </c>
      <c r="L107">
        <v>3.4439183006535901</v>
      </c>
      <c r="M107">
        <v>-112.87012418300699</v>
      </c>
      <c r="N107">
        <v>61.284500000000001</v>
      </c>
      <c r="O107">
        <v>24.025330201525101</v>
      </c>
      <c r="P107">
        <v>32.6905</v>
      </c>
      <c r="Q107">
        <v>12.195</v>
      </c>
      <c r="R107">
        <v>12</v>
      </c>
      <c r="S107">
        <v>22</v>
      </c>
      <c r="T107">
        <v>0.73484848484848497</v>
      </c>
      <c r="U107">
        <v>0.21301636775795199</v>
      </c>
      <c r="V107">
        <v>153</v>
      </c>
      <c r="W107">
        <v>10.566448801742901</v>
      </c>
      <c r="Y107" s="19">
        <v>38.187489999999997</v>
      </c>
      <c r="Z107" s="19">
        <v>-75.182500000000005</v>
      </c>
      <c r="AC107" s="21">
        <f t="shared" si="9"/>
        <v>1</v>
      </c>
      <c r="AD107" s="21">
        <f t="shared" si="10"/>
        <v>31</v>
      </c>
      <c r="AE107" s="21">
        <f t="shared" si="11"/>
        <v>31</v>
      </c>
      <c r="AF107" s="21">
        <f t="shared" si="12"/>
        <v>31</v>
      </c>
      <c r="AG107" s="21">
        <f t="shared" si="13"/>
        <v>31</v>
      </c>
      <c r="AH107" s="21">
        <f t="shared" si="14"/>
        <v>30</v>
      </c>
      <c r="AI107" s="21">
        <f t="shared" si="15"/>
        <v>5</v>
      </c>
      <c r="AJ107" s="21" t="str">
        <f t="shared" si="16"/>
        <v>PASS</v>
      </c>
      <c r="AK107" s="21" t="str">
        <f t="shared" si="17"/>
        <v>PASS</v>
      </c>
    </row>
    <row r="108" spans="1:37" x14ac:dyDescent="0.25">
      <c r="A108" t="s">
        <v>46</v>
      </c>
      <c r="B108" t="s">
        <v>47</v>
      </c>
      <c r="C108">
        <v>28.6</v>
      </c>
      <c r="D108" t="s">
        <v>52</v>
      </c>
      <c r="E108" t="s">
        <v>53</v>
      </c>
      <c r="F108" t="s">
        <v>37</v>
      </c>
      <c r="G108">
        <v>2014</v>
      </c>
      <c r="H108" s="12">
        <v>41760</v>
      </c>
      <c r="I108" s="12">
        <v>41912</v>
      </c>
      <c r="J108">
        <v>78.617999999999796</v>
      </c>
      <c r="K108">
        <v>-16141.358</v>
      </c>
      <c r="L108">
        <v>0.51384313725490005</v>
      </c>
      <c r="M108">
        <v>-105.499071895425</v>
      </c>
      <c r="N108">
        <v>12.221500000000001</v>
      </c>
      <c r="O108">
        <v>24.2107462962963</v>
      </c>
      <c r="P108">
        <v>30.065999999999999</v>
      </c>
      <c r="Q108">
        <v>14.266</v>
      </c>
      <c r="R108">
        <v>6</v>
      </c>
      <c r="S108">
        <v>20</v>
      </c>
      <c r="T108">
        <v>0.3125</v>
      </c>
      <c r="U108">
        <v>4.5793443566565402E-2</v>
      </c>
      <c r="V108">
        <v>153</v>
      </c>
      <c r="W108">
        <v>4.0849673202614403</v>
      </c>
      <c r="Y108" s="19">
        <v>38.187489999999997</v>
      </c>
      <c r="Z108" s="19">
        <v>-75.182500000000005</v>
      </c>
      <c r="AC108" s="21">
        <f t="shared" si="9"/>
        <v>1</v>
      </c>
      <c r="AD108" s="21">
        <f t="shared" si="10"/>
        <v>31</v>
      </c>
      <c r="AE108" s="21">
        <f t="shared" si="11"/>
        <v>31</v>
      </c>
      <c r="AF108" s="21">
        <f t="shared" si="12"/>
        <v>31</v>
      </c>
      <c r="AG108" s="21">
        <f t="shared" si="13"/>
        <v>31</v>
      </c>
      <c r="AH108" s="21">
        <f t="shared" si="14"/>
        <v>30</v>
      </c>
      <c r="AI108" s="21">
        <f t="shared" si="15"/>
        <v>5</v>
      </c>
      <c r="AJ108" s="21" t="str">
        <f t="shared" si="16"/>
        <v>PASS</v>
      </c>
      <c r="AK108" s="21" t="str">
        <f t="shared" si="17"/>
        <v>PASS</v>
      </c>
    </row>
    <row r="109" spans="1:37" x14ac:dyDescent="0.25">
      <c r="A109" t="s">
        <v>46</v>
      </c>
      <c r="B109" t="s">
        <v>47</v>
      </c>
      <c r="C109">
        <v>28.6</v>
      </c>
      <c r="D109" t="s">
        <v>52</v>
      </c>
      <c r="E109" t="s">
        <v>53</v>
      </c>
      <c r="F109" t="s">
        <v>37</v>
      </c>
      <c r="G109">
        <v>2015</v>
      </c>
      <c r="H109" s="12">
        <v>42125</v>
      </c>
      <c r="I109" s="12">
        <v>42277</v>
      </c>
      <c r="J109">
        <v>426.15799999999899</v>
      </c>
      <c r="K109">
        <v>-13043.989</v>
      </c>
      <c r="L109">
        <v>2.7853464052287502</v>
      </c>
      <c r="M109">
        <v>-85.254830065359499</v>
      </c>
      <c r="N109">
        <v>38.762999999999998</v>
      </c>
      <c r="O109">
        <v>25.148679248366001</v>
      </c>
      <c r="P109">
        <v>31.611999999999998</v>
      </c>
      <c r="Q109">
        <v>11.5525</v>
      </c>
      <c r="R109">
        <v>11</v>
      </c>
      <c r="S109">
        <v>53</v>
      </c>
      <c r="T109">
        <v>0.40880503144654101</v>
      </c>
      <c r="U109">
        <v>3.7430669592217802E-2</v>
      </c>
      <c r="V109">
        <v>153</v>
      </c>
      <c r="W109">
        <v>14.161220043573</v>
      </c>
      <c r="Y109" s="19">
        <v>38.187489999999997</v>
      </c>
      <c r="Z109" s="19">
        <v>-75.182500000000005</v>
      </c>
      <c r="AC109" s="21">
        <f t="shared" si="9"/>
        <v>1</v>
      </c>
      <c r="AD109" s="21">
        <f t="shared" si="10"/>
        <v>31</v>
      </c>
      <c r="AE109" s="21">
        <f t="shared" si="11"/>
        <v>31</v>
      </c>
      <c r="AF109" s="21">
        <f t="shared" si="12"/>
        <v>31</v>
      </c>
      <c r="AG109" s="21">
        <f t="shared" si="13"/>
        <v>31</v>
      </c>
      <c r="AH109" s="21">
        <f t="shared" si="14"/>
        <v>30</v>
      </c>
      <c r="AI109" s="21">
        <f t="shared" si="15"/>
        <v>5</v>
      </c>
      <c r="AJ109" s="21" t="str">
        <f t="shared" si="16"/>
        <v>PASS</v>
      </c>
      <c r="AK109" s="21" t="str">
        <f t="shared" si="17"/>
        <v>PASS</v>
      </c>
    </row>
    <row r="110" spans="1:37" x14ac:dyDescent="0.25">
      <c r="A110" t="s">
        <v>46</v>
      </c>
      <c r="B110" t="s">
        <v>47</v>
      </c>
      <c r="C110">
        <v>28.6</v>
      </c>
      <c r="D110" t="s">
        <v>52</v>
      </c>
      <c r="E110" t="s">
        <v>53</v>
      </c>
      <c r="F110" t="s">
        <v>37</v>
      </c>
      <c r="G110">
        <v>2016</v>
      </c>
      <c r="H110" s="12">
        <v>42491</v>
      </c>
      <c r="I110" s="12">
        <v>42643</v>
      </c>
      <c r="J110">
        <v>1302.7049999999999</v>
      </c>
      <c r="K110">
        <v>-15090.753500000001</v>
      </c>
      <c r="L110">
        <v>8.5144117647058692</v>
      </c>
      <c r="M110">
        <v>-98.632375816993502</v>
      </c>
      <c r="N110">
        <v>66.397999999999996</v>
      </c>
      <c r="O110">
        <v>24.8287125816993</v>
      </c>
      <c r="P110">
        <v>33.43</v>
      </c>
      <c r="Q110">
        <v>11.163</v>
      </c>
      <c r="R110">
        <v>29</v>
      </c>
      <c r="S110">
        <v>39</v>
      </c>
      <c r="T110">
        <v>0.90705128205128205</v>
      </c>
      <c r="U110">
        <v>0.21566312683505401</v>
      </c>
      <c r="V110">
        <v>153</v>
      </c>
      <c r="W110">
        <v>23.120915032679701</v>
      </c>
      <c r="Y110" s="19">
        <v>38.187489999999997</v>
      </c>
      <c r="Z110" s="19">
        <v>-75.182500000000005</v>
      </c>
      <c r="AC110" s="21">
        <f t="shared" ref="AC110:AC118" si="18">V110/153</f>
        <v>1</v>
      </c>
      <c r="AD110" s="21">
        <f t="shared" ref="AD110:AD118" si="19">MAX(0, MIN(I110, DATE(YEAR(H110),5,31)) - MAX(H110, DATE(YEAR(H110),5,1)) + 1)</f>
        <v>31</v>
      </c>
      <c r="AE110" s="21">
        <f t="shared" ref="AE110:AE118" si="20">MAX(0, MIN(I110, DATE(YEAR(H110),6,31)) - MAX(H110, DATE(YEAR(H110),6,1)) + 1)</f>
        <v>31</v>
      </c>
      <c r="AF110" s="21">
        <f t="shared" ref="AF110:AF118" si="21">MAX(0, MIN(I110, DATE(YEAR(H110),7,31)) - MAX(H110, DATE(YEAR(H110),7,1)) + 1)</f>
        <v>31</v>
      </c>
      <c r="AG110" s="21">
        <f t="shared" ref="AG110:AG118" si="22">MAX(0, MIN(I110, DATE(YEAR(H110),8,31)) - MAX(H110, DATE(YEAR(H110),8,1)) + 1)</f>
        <v>31</v>
      </c>
      <c r="AH110" s="21">
        <f t="shared" ref="AH110:AH118" si="23">MAX(0, MIN(I110, DATE(YEAR(H110),9,31)) - MAX(H110, DATE(YEAR(H110),9,1)) + 1)</f>
        <v>30</v>
      </c>
      <c r="AI110" s="21">
        <f t="shared" ref="AI110:AI118" si="24">COUNTIF(AD110:AH110, "&gt;=10")</f>
        <v>5</v>
      </c>
      <c r="AJ110" s="21" t="str">
        <f t="shared" ref="AJ110:AJ118" si="25">IF(COUNTIF(AD110:AH110,"&gt;=10")&gt;=3,"PASS","FAIL")</f>
        <v>PASS</v>
      </c>
      <c r="AK110" s="21" t="str">
        <f t="shared" ref="AK110:AK118" si="26">IF(AND(AC110&gt;=0.8, COUNTIF(AD110:AH110, "&gt;=10")&gt;=3), "PASS", "FAIL")</f>
        <v>PASS</v>
      </c>
    </row>
    <row r="111" spans="1:37" x14ac:dyDescent="0.25">
      <c r="A111" t="s">
        <v>46</v>
      </c>
      <c r="B111" t="s">
        <v>47</v>
      </c>
      <c r="C111">
        <v>28.6</v>
      </c>
      <c r="D111" t="s">
        <v>52</v>
      </c>
      <c r="E111" t="s">
        <v>53</v>
      </c>
      <c r="F111" t="s">
        <v>37</v>
      </c>
      <c r="G111">
        <v>2017</v>
      </c>
      <c r="H111" s="12">
        <v>42856</v>
      </c>
      <c r="I111" s="12">
        <v>43008</v>
      </c>
      <c r="J111">
        <v>466.29999999999899</v>
      </c>
      <c r="K111">
        <v>-15954.581</v>
      </c>
      <c r="L111">
        <v>3.0477124183006499</v>
      </c>
      <c r="M111">
        <v>-104.278307189543</v>
      </c>
      <c r="N111">
        <v>51.784999999999897</v>
      </c>
      <c r="O111">
        <v>24.376758278867101</v>
      </c>
      <c r="P111">
        <v>32.432499999999997</v>
      </c>
      <c r="Q111">
        <v>13.882</v>
      </c>
      <c r="R111">
        <v>24</v>
      </c>
      <c r="S111">
        <v>39</v>
      </c>
      <c r="T111">
        <v>0.48824786324786301</v>
      </c>
      <c r="U111">
        <v>0.106959837861096</v>
      </c>
      <c r="V111">
        <v>153</v>
      </c>
      <c r="W111">
        <v>12.4455337690632</v>
      </c>
      <c r="Y111" s="19">
        <v>38.187489999999997</v>
      </c>
      <c r="Z111" s="19">
        <v>-75.182500000000005</v>
      </c>
      <c r="AC111" s="21">
        <f t="shared" si="18"/>
        <v>1</v>
      </c>
      <c r="AD111" s="21">
        <f t="shared" si="19"/>
        <v>31</v>
      </c>
      <c r="AE111" s="21">
        <f t="shared" si="20"/>
        <v>31</v>
      </c>
      <c r="AF111" s="21">
        <f t="shared" si="21"/>
        <v>31</v>
      </c>
      <c r="AG111" s="21">
        <f t="shared" si="22"/>
        <v>31</v>
      </c>
      <c r="AH111" s="21">
        <f t="shared" si="23"/>
        <v>30</v>
      </c>
      <c r="AI111" s="21">
        <f t="shared" si="24"/>
        <v>5</v>
      </c>
      <c r="AJ111" s="21" t="str">
        <f t="shared" si="25"/>
        <v>PASS</v>
      </c>
      <c r="AK111" s="21" t="str">
        <f t="shared" si="26"/>
        <v>PASS</v>
      </c>
    </row>
    <row r="112" spans="1:37" x14ac:dyDescent="0.25">
      <c r="A112" t="s">
        <v>46</v>
      </c>
      <c r="B112" t="s">
        <v>47</v>
      </c>
      <c r="C112">
        <v>28.6</v>
      </c>
      <c r="D112" t="s">
        <v>52</v>
      </c>
      <c r="E112" t="s">
        <v>53</v>
      </c>
      <c r="F112" t="s">
        <v>37</v>
      </c>
      <c r="G112">
        <v>2018</v>
      </c>
      <c r="H112" s="12">
        <v>43221</v>
      </c>
      <c r="I112" s="12">
        <v>43373</v>
      </c>
      <c r="J112">
        <v>982.88549999999896</v>
      </c>
      <c r="K112">
        <v>-11993.082</v>
      </c>
      <c r="L112">
        <v>6.4240882352941098</v>
      </c>
      <c r="M112">
        <v>-78.386156862745096</v>
      </c>
      <c r="N112">
        <v>61.802500000000002</v>
      </c>
      <c r="O112">
        <v>25.587548747276699</v>
      </c>
      <c r="P112">
        <v>32.832999999999998</v>
      </c>
      <c r="Q112">
        <v>14.05</v>
      </c>
      <c r="R112">
        <v>20</v>
      </c>
      <c r="S112">
        <v>41</v>
      </c>
      <c r="T112">
        <v>0.80386178861788604</v>
      </c>
      <c r="U112">
        <v>0.203938626912193</v>
      </c>
      <c r="V112">
        <v>153</v>
      </c>
      <c r="W112">
        <v>21.541394335511999</v>
      </c>
      <c r="Y112" s="19">
        <v>38.187489999999997</v>
      </c>
      <c r="Z112" s="19">
        <v>-75.182500000000005</v>
      </c>
      <c r="AC112" s="21">
        <f t="shared" si="18"/>
        <v>1</v>
      </c>
      <c r="AD112" s="21">
        <f t="shared" si="19"/>
        <v>31</v>
      </c>
      <c r="AE112" s="21">
        <f t="shared" si="20"/>
        <v>31</v>
      </c>
      <c r="AF112" s="21">
        <f t="shared" si="21"/>
        <v>31</v>
      </c>
      <c r="AG112" s="21">
        <f t="shared" si="22"/>
        <v>31</v>
      </c>
      <c r="AH112" s="21">
        <f t="shared" si="23"/>
        <v>30</v>
      </c>
      <c r="AI112" s="21">
        <f t="shared" si="24"/>
        <v>5</v>
      </c>
      <c r="AJ112" s="21" t="str">
        <f t="shared" si="25"/>
        <v>PASS</v>
      </c>
      <c r="AK112" s="21" t="str">
        <f t="shared" si="26"/>
        <v>PASS</v>
      </c>
    </row>
    <row r="113" spans="1:37" x14ac:dyDescent="0.25">
      <c r="A113" t="s">
        <v>46</v>
      </c>
      <c r="B113" t="s">
        <v>47</v>
      </c>
      <c r="C113">
        <v>28.6</v>
      </c>
      <c r="D113" t="s">
        <v>52</v>
      </c>
      <c r="E113" t="s">
        <v>53</v>
      </c>
      <c r="F113" t="s">
        <v>37</v>
      </c>
      <c r="G113">
        <v>2019</v>
      </c>
      <c r="H113" s="12">
        <v>43586</v>
      </c>
      <c r="I113" s="12">
        <v>43738</v>
      </c>
      <c r="J113">
        <v>1057.3185000000001</v>
      </c>
      <c r="K113">
        <v>-12164.1325</v>
      </c>
      <c r="L113">
        <v>6.9105784313725396</v>
      </c>
      <c r="M113">
        <v>-79.504133986928096</v>
      </c>
      <c r="N113">
        <v>88.210999999999999</v>
      </c>
      <c r="O113">
        <v>25.5636388616558</v>
      </c>
      <c r="P113">
        <v>33.587000000000003</v>
      </c>
      <c r="Q113">
        <v>14.481</v>
      </c>
      <c r="R113">
        <v>16</v>
      </c>
      <c r="S113">
        <v>44</v>
      </c>
      <c r="T113">
        <v>0.75284090909090895</v>
      </c>
      <c r="U113">
        <v>0.184763414451518</v>
      </c>
      <c r="V113">
        <v>153</v>
      </c>
      <c r="W113">
        <v>21.650326797385599</v>
      </c>
      <c r="Y113" s="19">
        <v>38.187489999999997</v>
      </c>
      <c r="Z113" s="19">
        <v>-75.182500000000005</v>
      </c>
      <c r="AC113" s="21">
        <f t="shared" si="18"/>
        <v>1</v>
      </c>
      <c r="AD113" s="21">
        <f t="shared" si="19"/>
        <v>31</v>
      </c>
      <c r="AE113" s="21">
        <f t="shared" si="20"/>
        <v>31</v>
      </c>
      <c r="AF113" s="21">
        <f t="shared" si="21"/>
        <v>31</v>
      </c>
      <c r="AG113" s="21">
        <f t="shared" si="22"/>
        <v>31</v>
      </c>
      <c r="AH113" s="21">
        <f t="shared" si="23"/>
        <v>30</v>
      </c>
      <c r="AI113" s="21">
        <f t="shared" si="24"/>
        <v>5</v>
      </c>
      <c r="AJ113" s="21" t="str">
        <f t="shared" si="25"/>
        <v>PASS</v>
      </c>
      <c r="AK113" s="21" t="str">
        <f t="shared" si="26"/>
        <v>PASS</v>
      </c>
    </row>
    <row r="114" spans="1:37" x14ac:dyDescent="0.25">
      <c r="A114" t="s">
        <v>46</v>
      </c>
      <c r="B114" t="s">
        <v>47</v>
      </c>
      <c r="C114">
        <v>28.6</v>
      </c>
      <c r="D114" t="s">
        <v>52</v>
      </c>
      <c r="E114" t="s">
        <v>53</v>
      </c>
      <c r="F114" t="s">
        <v>37</v>
      </c>
      <c r="G114">
        <v>2020</v>
      </c>
      <c r="H114" s="12">
        <v>43952</v>
      </c>
      <c r="I114" s="12">
        <v>44104</v>
      </c>
      <c r="J114">
        <v>1134.596</v>
      </c>
      <c r="K114">
        <v>-16092.8495</v>
      </c>
      <c r="L114">
        <v>7.4156601307189502</v>
      </c>
      <c r="M114">
        <v>-105.182022875817</v>
      </c>
      <c r="N114">
        <v>75.704999999999998</v>
      </c>
      <c r="O114">
        <v>24.5136080065359</v>
      </c>
      <c r="P114">
        <v>33.822000000000003</v>
      </c>
      <c r="Q114">
        <v>10.8705</v>
      </c>
      <c r="R114">
        <v>39</v>
      </c>
      <c r="S114">
        <v>40</v>
      </c>
      <c r="T114">
        <v>0.88541666666666696</v>
      </c>
      <c r="U114">
        <v>0.223157171162637</v>
      </c>
      <c r="V114">
        <v>153</v>
      </c>
      <c r="W114">
        <v>23.148148148148099</v>
      </c>
      <c r="Y114" s="19">
        <v>38.187489999999997</v>
      </c>
      <c r="Z114" s="19">
        <v>-75.182500000000005</v>
      </c>
      <c r="AC114" s="21">
        <f t="shared" si="18"/>
        <v>1</v>
      </c>
      <c r="AD114" s="21">
        <f t="shared" si="19"/>
        <v>31</v>
      </c>
      <c r="AE114" s="21">
        <f t="shared" si="20"/>
        <v>31</v>
      </c>
      <c r="AF114" s="21">
        <f t="shared" si="21"/>
        <v>31</v>
      </c>
      <c r="AG114" s="21">
        <f t="shared" si="22"/>
        <v>31</v>
      </c>
      <c r="AH114" s="21">
        <f t="shared" si="23"/>
        <v>30</v>
      </c>
      <c r="AI114" s="21">
        <f t="shared" si="24"/>
        <v>5</v>
      </c>
      <c r="AJ114" s="21" t="str">
        <f t="shared" si="25"/>
        <v>PASS</v>
      </c>
      <c r="AK114" s="21" t="str">
        <f t="shared" si="26"/>
        <v>PASS</v>
      </c>
    </row>
    <row r="115" spans="1:37" x14ac:dyDescent="0.25">
      <c r="A115" t="s">
        <v>46</v>
      </c>
      <c r="B115" t="s">
        <v>47</v>
      </c>
      <c r="C115">
        <v>28.6</v>
      </c>
      <c r="D115" t="s">
        <v>52</v>
      </c>
      <c r="E115" t="s">
        <v>53</v>
      </c>
      <c r="F115" t="s">
        <v>37</v>
      </c>
      <c r="G115">
        <v>2021</v>
      </c>
      <c r="H115" s="12">
        <v>44317</v>
      </c>
      <c r="I115" s="12">
        <v>44469</v>
      </c>
      <c r="J115">
        <v>796.28799999999899</v>
      </c>
      <c r="K115">
        <v>-13340.6085</v>
      </c>
      <c r="L115">
        <v>5.2044967320261399</v>
      </c>
      <c r="M115">
        <v>-87.1935196078432</v>
      </c>
      <c r="N115">
        <v>51.709499999999998</v>
      </c>
      <c r="O115">
        <v>25.1686593954248</v>
      </c>
      <c r="P115">
        <v>31.8675</v>
      </c>
      <c r="Q115">
        <v>13.076000000000001</v>
      </c>
      <c r="R115">
        <v>15</v>
      </c>
      <c r="S115">
        <v>40</v>
      </c>
      <c r="T115">
        <v>0.71562499999999996</v>
      </c>
      <c r="U115">
        <v>0.15499235675829301</v>
      </c>
      <c r="V115">
        <v>153</v>
      </c>
      <c r="W115">
        <v>18.709150326797399</v>
      </c>
      <c r="Y115" s="19">
        <v>38.187489999999997</v>
      </c>
      <c r="Z115" s="19">
        <v>-75.182500000000005</v>
      </c>
      <c r="AC115" s="21">
        <f t="shared" si="18"/>
        <v>1</v>
      </c>
      <c r="AD115" s="21">
        <f t="shared" si="19"/>
        <v>31</v>
      </c>
      <c r="AE115" s="21">
        <f t="shared" si="20"/>
        <v>31</v>
      </c>
      <c r="AF115" s="21">
        <f t="shared" si="21"/>
        <v>31</v>
      </c>
      <c r="AG115" s="21">
        <f t="shared" si="22"/>
        <v>31</v>
      </c>
      <c r="AH115" s="21">
        <f t="shared" si="23"/>
        <v>30</v>
      </c>
      <c r="AI115" s="21">
        <f t="shared" si="24"/>
        <v>5</v>
      </c>
      <c r="AJ115" s="21" t="str">
        <f t="shared" si="25"/>
        <v>PASS</v>
      </c>
      <c r="AK115" s="21" t="str">
        <f t="shared" si="26"/>
        <v>PASS</v>
      </c>
    </row>
    <row r="116" spans="1:37" x14ac:dyDescent="0.25">
      <c r="A116" t="s">
        <v>46</v>
      </c>
      <c r="B116" t="s">
        <v>47</v>
      </c>
      <c r="C116">
        <v>28.6</v>
      </c>
      <c r="D116" t="s">
        <v>52</v>
      </c>
      <c r="E116" t="s">
        <v>53</v>
      </c>
      <c r="F116" t="s">
        <v>37</v>
      </c>
      <c r="G116">
        <v>2022</v>
      </c>
      <c r="H116" s="12">
        <v>44682</v>
      </c>
      <c r="I116" s="12">
        <v>44834</v>
      </c>
      <c r="J116">
        <v>595.68099999999902</v>
      </c>
      <c r="K116">
        <v>-15051.032499999999</v>
      </c>
      <c r="L116">
        <v>3.8933398692810401</v>
      </c>
      <c r="M116">
        <v>-98.372761437908494</v>
      </c>
      <c r="N116">
        <v>45.341500000000003</v>
      </c>
      <c r="O116">
        <v>24.648408006535899</v>
      </c>
      <c r="P116">
        <v>32.433</v>
      </c>
      <c r="Q116">
        <v>8.7919999999999998</v>
      </c>
      <c r="R116">
        <v>16</v>
      </c>
      <c r="S116">
        <v>29</v>
      </c>
      <c r="T116">
        <v>0.78017241379310298</v>
      </c>
      <c r="U116">
        <v>0.16320418859786201</v>
      </c>
      <c r="V116">
        <v>153</v>
      </c>
      <c r="W116">
        <v>14.787581699346401</v>
      </c>
      <c r="Y116" s="19">
        <v>38.187489999999997</v>
      </c>
      <c r="Z116" s="19">
        <v>-75.182500000000005</v>
      </c>
      <c r="AC116" s="21">
        <f t="shared" si="18"/>
        <v>1</v>
      </c>
      <c r="AD116" s="21">
        <f t="shared" si="19"/>
        <v>31</v>
      </c>
      <c r="AE116" s="21">
        <f t="shared" si="20"/>
        <v>31</v>
      </c>
      <c r="AF116" s="21">
        <f t="shared" si="21"/>
        <v>31</v>
      </c>
      <c r="AG116" s="21">
        <f t="shared" si="22"/>
        <v>31</v>
      </c>
      <c r="AH116" s="21">
        <f t="shared" si="23"/>
        <v>30</v>
      </c>
      <c r="AI116" s="21">
        <f t="shared" si="24"/>
        <v>5</v>
      </c>
      <c r="AJ116" s="21" t="str">
        <f t="shared" si="25"/>
        <v>PASS</v>
      </c>
      <c r="AK116" s="21" t="str">
        <f t="shared" si="26"/>
        <v>PASS</v>
      </c>
    </row>
    <row r="117" spans="1:37" x14ac:dyDescent="0.25">
      <c r="A117" t="s">
        <v>46</v>
      </c>
      <c r="B117" t="s">
        <v>47</v>
      </c>
      <c r="C117">
        <v>28.6</v>
      </c>
      <c r="D117" t="s">
        <v>52</v>
      </c>
      <c r="E117" t="s">
        <v>53</v>
      </c>
      <c r="F117" t="s">
        <v>37</v>
      </c>
      <c r="G117">
        <v>2023</v>
      </c>
      <c r="H117" s="12">
        <v>45047</v>
      </c>
      <c r="I117" s="12">
        <v>45199</v>
      </c>
      <c r="J117">
        <v>618.63199999999904</v>
      </c>
      <c r="K117">
        <v>-16142.861000000001</v>
      </c>
      <c r="L117">
        <v>4.0433464052287498</v>
      </c>
      <c r="M117">
        <v>-105.50889542483699</v>
      </c>
      <c r="N117">
        <v>46.055</v>
      </c>
      <c r="O117">
        <v>24.359503404139399</v>
      </c>
      <c r="P117">
        <v>31.790500000000002</v>
      </c>
      <c r="Q117">
        <v>13.004</v>
      </c>
      <c r="R117">
        <v>30</v>
      </c>
      <c r="S117">
        <v>42</v>
      </c>
      <c r="T117">
        <v>0.62599206349206304</v>
      </c>
      <c r="U117">
        <v>9.9313361756983007E-2</v>
      </c>
      <c r="V117">
        <v>153</v>
      </c>
      <c r="W117">
        <v>17.184095860566401</v>
      </c>
      <c r="Y117" s="19">
        <v>38.187489999999997</v>
      </c>
      <c r="Z117" s="19">
        <v>-75.182500000000005</v>
      </c>
      <c r="AC117" s="21">
        <f t="shared" si="18"/>
        <v>1</v>
      </c>
      <c r="AD117" s="21">
        <f t="shared" si="19"/>
        <v>31</v>
      </c>
      <c r="AE117" s="21">
        <f t="shared" si="20"/>
        <v>31</v>
      </c>
      <c r="AF117" s="21">
        <f t="shared" si="21"/>
        <v>31</v>
      </c>
      <c r="AG117" s="21">
        <f t="shared" si="22"/>
        <v>31</v>
      </c>
      <c r="AH117" s="21">
        <f t="shared" si="23"/>
        <v>30</v>
      </c>
      <c r="AI117" s="21">
        <f t="shared" si="24"/>
        <v>5</v>
      </c>
      <c r="AJ117" s="21" t="str">
        <f t="shared" si="25"/>
        <v>PASS</v>
      </c>
      <c r="AK117" s="21" t="str">
        <f t="shared" si="26"/>
        <v>PASS</v>
      </c>
    </row>
    <row r="118" spans="1:37" x14ac:dyDescent="0.25">
      <c r="A118" t="s">
        <v>46</v>
      </c>
      <c r="B118" t="s">
        <v>47</v>
      </c>
      <c r="C118">
        <v>28.6</v>
      </c>
      <c r="D118" t="s">
        <v>52</v>
      </c>
      <c r="E118" t="s">
        <v>53</v>
      </c>
      <c r="F118" t="s">
        <v>37</v>
      </c>
      <c r="G118">
        <v>2024</v>
      </c>
      <c r="H118" s="12">
        <v>45413</v>
      </c>
      <c r="I118" s="12">
        <v>45565</v>
      </c>
      <c r="J118">
        <v>357.76649999999898</v>
      </c>
      <c r="K118">
        <v>-14383.666999999999</v>
      </c>
      <c r="L118">
        <v>2.3383431372549</v>
      </c>
      <c r="M118">
        <v>-94.010895424836605</v>
      </c>
      <c r="N118">
        <v>43.421500000000002</v>
      </c>
      <c r="O118">
        <v>24.772286928104599</v>
      </c>
      <c r="P118">
        <v>31.816500000000001</v>
      </c>
      <c r="Q118">
        <v>15.019500000000001</v>
      </c>
      <c r="R118">
        <v>8</v>
      </c>
      <c r="S118">
        <v>28</v>
      </c>
      <c r="T118">
        <v>0.50446428571428603</v>
      </c>
      <c r="U118">
        <v>0.13479991632961399</v>
      </c>
      <c r="V118">
        <v>153</v>
      </c>
      <c r="W118">
        <v>9.2320261437908506</v>
      </c>
      <c r="Y118" s="19">
        <v>38.187489999999997</v>
      </c>
      <c r="Z118" s="19">
        <v>-75.182500000000005</v>
      </c>
      <c r="AC118" s="21">
        <f t="shared" si="18"/>
        <v>1</v>
      </c>
      <c r="AD118" s="21">
        <f t="shared" si="19"/>
        <v>31</v>
      </c>
      <c r="AE118" s="21">
        <f t="shared" si="20"/>
        <v>31</v>
      </c>
      <c r="AF118" s="21">
        <f t="shared" si="21"/>
        <v>31</v>
      </c>
      <c r="AG118" s="21">
        <f t="shared" si="22"/>
        <v>31</v>
      </c>
      <c r="AH118" s="21">
        <f t="shared" si="23"/>
        <v>30</v>
      </c>
      <c r="AI118" s="21">
        <f t="shared" si="24"/>
        <v>5</v>
      </c>
      <c r="AJ118" s="21" t="str">
        <f t="shared" si="25"/>
        <v>PASS</v>
      </c>
      <c r="AK118" s="21" t="str">
        <f t="shared" si="26"/>
        <v>PASS</v>
      </c>
    </row>
    <row r="119" spans="1:37" x14ac:dyDescent="0.25">
      <c r="A119" t="s">
        <v>54</v>
      </c>
      <c r="B119" t="s">
        <v>55</v>
      </c>
      <c r="C119" s="39">
        <v>26.3</v>
      </c>
      <c r="D119" s="21" t="s">
        <v>61</v>
      </c>
      <c r="E119" s="1" t="s">
        <v>62</v>
      </c>
      <c r="F119" t="s">
        <v>32</v>
      </c>
      <c r="G119" s="1">
        <v>2019</v>
      </c>
      <c r="H119" s="12">
        <v>43586</v>
      </c>
      <c r="I119" s="12">
        <v>43738</v>
      </c>
      <c r="J119" s="1">
        <v>1493.2606699999999</v>
      </c>
      <c r="K119" s="1">
        <v>-15194.31</v>
      </c>
      <c r="L119" s="1">
        <v>9.7598736400000003</v>
      </c>
      <c r="M119" s="1">
        <v>-99.309215699999996</v>
      </c>
      <c r="N119" s="1">
        <v>79.974999999999994</v>
      </c>
      <c r="O119" s="1">
        <v>22.5532863</v>
      </c>
      <c r="P119" s="1">
        <v>31.803249999999998</v>
      </c>
      <c r="Q119" s="1">
        <v>9.4967500000000005</v>
      </c>
      <c r="R119" s="1">
        <v>21</v>
      </c>
      <c r="S119" s="1">
        <v>24</v>
      </c>
      <c r="T119" s="1">
        <v>1.609375</v>
      </c>
      <c r="U119" s="1">
        <v>0.3677918</v>
      </c>
      <c r="V119" s="1">
        <v>153</v>
      </c>
      <c r="W119" s="1">
        <v>25.245097999999999</v>
      </c>
      <c r="Y119" s="21">
        <v>40.719639999999998</v>
      </c>
      <c r="Z119" s="21">
        <v>-72.938199999999995</v>
      </c>
      <c r="AC119" s="21">
        <f t="shared" ref="AC119:AC124" si="27">V119/153</f>
        <v>1</v>
      </c>
      <c r="AD119" s="21">
        <f t="shared" ref="AD119:AD124" si="28">MAX(0, MIN(I119, DATE(YEAR(H119),5,31)) - MAX(H119, DATE(YEAR(H119),5,1)) + 1)</f>
        <v>31</v>
      </c>
      <c r="AE119" s="21">
        <f t="shared" ref="AE119:AE124" si="29">MAX(0, MIN(I119, DATE(YEAR(H119),6,31)) - MAX(H119, DATE(YEAR(H119),6,1)) + 1)</f>
        <v>31</v>
      </c>
      <c r="AF119" s="21">
        <f t="shared" ref="AF119:AF124" si="30">MAX(0, MIN(I119, DATE(YEAR(H119),7,31)) - MAX(H119, DATE(YEAR(H119),7,1)) + 1)</f>
        <v>31</v>
      </c>
      <c r="AG119" s="21">
        <f t="shared" ref="AG119:AG124" si="31">MAX(0, MIN(I119, DATE(YEAR(H119),8,31)) - MAX(H119, DATE(YEAR(H119),8,1)) + 1)</f>
        <v>31</v>
      </c>
      <c r="AH119" s="21">
        <f t="shared" ref="AH119:AH124" si="32">MAX(0, MIN(I119, DATE(YEAR(H119),9,31)) - MAX(H119, DATE(YEAR(H119),9,1)) + 1)</f>
        <v>30</v>
      </c>
      <c r="AI119" s="21">
        <f t="shared" ref="AI119:AI124" si="33">COUNTIF(AD119:AH119, "&gt;=10")</f>
        <v>5</v>
      </c>
      <c r="AJ119" s="21" t="str">
        <f t="shared" ref="AJ119:AJ124" si="34">IF(COUNTIF(AD119:AH119,"&gt;=10")&gt;=3,"PASS","FAIL")</f>
        <v>PASS</v>
      </c>
      <c r="AK119" s="21" t="str">
        <f t="shared" ref="AK119:AK124" si="35">IF(AND(AC119&gt;=0.8, COUNTIF(AD119:AH119, "&gt;=10")&gt;=3), "PASS", "FAIL")</f>
        <v>PASS</v>
      </c>
    </row>
    <row r="120" spans="1:37" x14ac:dyDescent="0.25">
      <c r="A120" t="s">
        <v>54</v>
      </c>
      <c r="B120" t="s">
        <v>55</v>
      </c>
      <c r="C120" s="39">
        <v>26.3</v>
      </c>
      <c r="D120" s="21" t="s">
        <v>61</v>
      </c>
      <c r="E120" s="1" t="s">
        <v>62</v>
      </c>
      <c r="F120" t="s">
        <v>32</v>
      </c>
      <c r="G120" s="1">
        <v>2020</v>
      </c>
      <c r="H120" s="12">
        <v>43952</v>
      </c>
      <c r="I120" s="12">
        <v>44104</v>
      </c>
      <c r="J120" s="1">
        <v>1379.0652500000001</v>
      </c>
      <c r="K120" s="1">
        <v>-14916.2405</v>
      </c>
      <c r="L120" s="1">
        <v>9.0134983700000006</v>
      </c>
      <c r="M120" s="1">
        <v>-97.491767999999993</v>
      </c>
      <c r="N120" s="1">
        <v>73.409750000000003</v>
      </c>
      <c r="O120" s="1">
        <v>22.596688100000001</v>
      </c>
      <c r="P120" s="1">
        <v>30.672000000000001</v>
      </c>
      <c r="Q120" s="1">
        <v>7.5564999999999998</v>
      </c>
      <c r="R120" s="1">
        <v>57</v>
      </c>
      <c r="S120" s="1">
        <v>41</v>
      </c>
      <c r="T120" s="1">
        <v>0.96747967000000001</v>
      </c>
      <c r="U120" s="1">
        <v>0.29175199000000002</v>
      </c>
      <c r="V120" s="1">
        <v>153</v>
      </c>
      <c r="W120" s="1">
        <v>25.925925899999999</v>
      </c>
      <c r="Y120" s="21">
        <v>40.719639999999998</v>
      </c>
      <c r="Z120" s="21">
        <v>-72.938199999999995</v>
      </c>
      <c r="AC120" s="21">
        <f t="shared" si="27"/>
        <v>1</v>
      </c>
      <c r="AD120" s="21">
        <f t="shared" si="28"/>
        <v>31</v>
      </c>
      <c r="AE120" s="21">
        <f t="shared" si="29"/>
        <v>31</v>
      </c>
      <c r="AF120" s="21">
        <f t="shared" si="30"/>
        <v>31</v>
      </c>
      <c r="AG120" s="21">
        <f t="shared" si="31"/>
        <v>31</v>
      </c>
      <c r="AH120" s="21">
        <f t="shared" si="32"/>
        <v>30</v>
      </c>
      <c r="AI120" s="21">
        <f t="shared" si="33"/>
        <v>5</v>
      </c>
      <c r="AJ120" s="21" t="str">
        <f t="shared" si="34"/>
        <v>PASS</v>
      </c>
      <c r="AK120" s="21" t="str">
        <f t="shared" si="35"/>
        <v>PASS</v>
      </c>
    </row>
    <row r="121" spans="1:37" x14ac:dyDescent="0.25">
      <c r="A121" t="s">
        <v>54</v>
      </c>
      <c r="B121" t="s">
        <v>55</v>
      </c>
      <c r="C121" s="39">
        <v>26.3</v>
      </c>
      <c r="D121" s="21" t="s">
        <v>61</v>
      </c>
      <c r="E121" s="1" t="s">
        <v>62</v>
      </c>
      <c r="F121" t="s">
        <v>32</v>
      </c>
      <c r="G121" s="1">
        <v>2021</v>
      </c>
      <c r="H121" s="12">
        <v>44317</v>
      </c>
      <c r="I121" s="12">
        <v>44469</v>
      </c>
      <c r="J121" s="1">
        <v>983.85</v>
      </c>
      <c r="K121" s="1">
        <v>-13696.5772</v>
      </c>
      <c r="L121" s="1">
        <v>6.4303921600000002</v>
      </c>
      <c r="M121" s="1">
        <v>-89.5201122</v>
      </c>
      <c r="N121" s="1">
        <v>68.694500000000005</v>
      </c>
      <c r="O121" s="1">
        <v>22.8239035</v>
      </c>
      <c r="P121" s="1">
        <v>31.045249999999999</v>
      </c>
      <c r="Q121" s="1">
        <v>11.254250000000001</v>
      </c>
      <c r="R121" s="1">
        <v>16</v>
      </c>
      <c r="S121" s="1">
        <v>48</v>
      </c>
      <c r="T121" s="1">
        <v>0.61284722000000003</v>
      </c>
      <c r="U121" s="1">
        <v>9.9108570000000007E-2</v>
      </c>
      <c r="V121" s="1">
        <v>153</v>
      </c>
      <c r="W121" s="1">
        <v>19.2265795</v>
      </c>
      <c r="Y121" s="21">
        <v>40.719639999999998</v>
      </c>
      <c r="Z121" s="21">
        <v>-72.938199999999995</v>
      </c>
      <c r="AC121" s="21">
        <f t="shared" si="27"/>
        <v>1</v>
      </c>
      <c r="AD121" s="21">
        <f t="shared" si="28"/>
        <v>31</v>
      </c>
      <c r="AE121" s="21">
        <f t="shared" si="29"/>
        <v>31</v>
      </c>
      <c r="AF121" s="21">
        <f t="shared" si="30"/>
        <v>31</v>
      </c>
      <c r="AG121" s="21">
        <f t="shared" si="31"/>
        <v>31</v>
      </c>
      <c r="AH121" s="21">
        <f t="shared" si="32"/>
        <v>30</v>
      </c>
      <c r="AI121" s="21">
        <f t="shared" si="33"/>
        <v>5</v>
      </c>
      <c r="AJ121" s="21" t="str">
        <f t="shared" si="34"/>
        <v>PASS</v>
      </c>
      <c r="AK121" s="21" t="str">
        <f t="shared" si="35"/>
        <v>PASS</v>
      </c>
    </row>
    <row r="122" spans="1:37" x14ac:dyDescent="0.25">
      <c r="A122" t="s">
        <v>54</v>
      </c>
      <c r="B122" t="s">
        <v>55</v>
      </c>
      <c r="C122" s="39">
        <v>26.3</v>
      </c>
      <c r="D122" s="21" t="s">
        <v>61</v>
      </c>
      <c r="E122" s="1" t="s">
        <v>62</v>
      </c>
      <c r="F122" t="s">
        <v>32</v>
      </c>
      <c r="G122" s="1">
        <v>2022</v>
      </c>
      <c r="H122" s="12">
        <v>44682</v>
      </c>
      <c r="I122" s="12">
        <v>44834</v>
      </c>
      <c r="J122" s="1">
        <v>1724.7505000000001</v>
      </c>
      <c r="K122" s="1">
        <v>-12776.8573</v>
      </c>
      <c r="L122" s="1">
        <v>11.272879100000001</v>
      </c>
      <c r="M122" s="1">
        <v>-83.508870900000005</v>
      </c>
      <c r="N122" s="1">
        <v>87.719499999999996</v>
      </c>
      <c r="O122" s="1">
        <v>23.2692902</v>
      </c>
      <c r="P122" s="1">
        <v>31.727</v>
      </c>
      <c r="Q122" s="1">
        <v>7.6195000000000004</v>
      </c>
      <c r="R122" s="1">
        <v>50</v>
      </c>
      <c r="S122" s="1">
        <v>44</v>
      </c>
      <c r="T122" s="1">
        <v>1.0198863600000001</v>
      </c>
      <c r="U122" s="1">
        <v>0.18201691</v>
      </c>
      <c r="V122" s="1">
        <v>153</v>
      </c>
      <c r="W122" s="1">
        <v>29.362050199999999</v>
      </c>
      <c r="Y122" s="21">
        <v>40.719639999999998</v>
      </c>
      <c r="Z122" s="21">
        <v>-72.938199999999995</v>
      </c>
      <c r="AC122" s="21">
        <f t="shared" si="27"/>
        <v>1</v>
      </c>
      <c r="AD122" s="21">
        <f t="shared" si="28"/>
        <v>31</v>
      </c>
      <c r="AE122" s="21">
        <f t="shared" si="29"/>
        <v>31</v>
      </c>
      <c r="AF122" s="21">
        <f t="shared" si="30"/>
        <v>31</v>
      </c>
      <c r="AG122" s="21">
        <f t="shared" si="31"/>
        <v>31</v>
      </c>
      <c r="AH122" s="21">
        <f t="shared" si="32"/>
        <v>30</v>
      </c>
      <c r="AI122" s="21">
        <f t="shared" si="33"/>
        <v>5</v>
      </c>
      <c r="AJ122" s="21" t="str">
        <f t="shared" si="34"/>
        <v>PASS</v>
      </c>
      <c r="AK122" s="21" t="str">
        <f t="shared" si="35"/>
        <v>PASS</v>
      </c>
    </row>
    <row r="123" spans="1:37" x14ac:dyDescent="0.25">
      <c r="A123" t="s">
        <v>54</v>
      </c>
      <c r="B123" t="s">
        <v>55</v>
      </c>
      <c r="C123" s="39">
        <v>26.3</v>
      </c>
      <c r="D123" s="21" t="s">
        <v>61</v>
      </c>
      <c r="E123" s="1" t="s">
        <v>62</v>
      </c>
      <c r="F123" t="s">
        <v>32</v>
      </c>
      <c r="G123" s="1">
        <v>2023</v>
      </c>
      <c r="H123" s="12">
        <v>45047</v>
      </c>
      <c r="I123" s="12">
        <v>45199</v>
      </c>
      <c r="J123" s="1">
        <v>1725.5299199999999</v>
      </c>
      <c r="K123" s="1">
        <v>-14090.9995</v>
      </c>
      <c r="L123" s="1">
        <v>11.277973299999999</v>
      </c>
      <c r="M123" s="1">
        <v>-92.098035899999999</v>
      </c>
      <c r="N123" s="1">
        <v>81.630750000000006</v>
      </c>
      <c r="O123" s="1">
        <v>22.9182296</v>
      </c>
      <c r="P123" s="1">
        <v>32.091749999999998</v>
      </c>
      <c r="Q123" s="1">
        <v>11.904249999999999</v>
      </c>
      <c r="R123" s="1">
        <v>37</v>
      </c>
      <c r="S123" s="1">
        <v>36</v>
      </c>
      <c r="T123" s="1">
        <v>1.1469907399999999</v>
      </c>
      <c r="U123" s="1">
        <v>0.31210285999999998</v>
      </c>
      <c r="V123" s="1">
        <v>153</v>
      </c>
      <c r="W123" s="1">
        <v>26.9880174</v>
      </c>
      <c r="Y123" s="21">
        <v>40.719639999999998</v>
      </c>
      <c r="Z123" s="21">
        <v>-72.938199999999995</v>
      </c>
      <c r="AC123" s="21">
        <f t="shared" si="27"/>
        <v>1</v>
      </c>
      <c r="AD123" s="21">
        <f t="shared" si="28"/>
        <v>31</v>
      </c>
      <c r="AE123" s="21">
        <f t="shared" si="29"/>
        <v>31</v>
      </c>
      <c r="AF123" s="21">
        <f t="shared" si="30"/>
        <v>31</v>
      </c>
      <c r="AG123" s="21">
        <f t="shared" si="31"/>
        <v>31</v>
      </c>
      <c r="AH123" s="21">
        <f t="shared" si="32"/>
        <v>30</v>
      </c>
      <c r="AI123" s="21">
        <f t="shared" si="33"/>
        <v>5</v>
      </c>
      <c r="AJ123" s="21" t="str">
        <f t="shared" si="34"/>
        <v>PASS</v>
      </c>
      <c r="AK123" s="21" t="str">
        <f t="shared" si="35"/>
        <v>PASS</v>
      </c>
    </row>
    <row r="124" spans="1:37" x14ac:dyDescent="0.25">
      <c r="A124" t="s">
        <v>54</v>
      </c>
      <c r="B124" t="s">
        <v>55</v>
      </c>
      <c r="C124" s="39">
        <v>26.3</v>
      </c>
      <c r="D124" s="21" t="s">
        <v>61</v>
      </c>
      <c r="E124" s="1" t="s">
        <v>62</v>
      </c>
      <c r="F124" t="s">
        <v>32</v>
      </c>
      <c r="G124" s="1">
        <v>2024</v>
      </c>
      <c r="H124" s="12">
        <v>45413</v>
      </c>
      <c r="I124" s="12">
        <v>45565</v>
      </c>
      <c r="J124" s="1">
        <v>1410.7815800000001</v>
      </c>
      <c r="K124" s="1">
        <v>-12103.7898</v>
      </c>
      <c r="L124" s="1">
        <v>9.2207946599999993</v>
      </c>
      <c r="M124" s="1">
        <v>-79.109736900000001</v>
      </c>
      <c r="N124" s="1">
        <v>70.042500000000004</v>
      </c>
      <c r="O124" s="1">
        <v>23.377333400000001</v>
      </c>
      <c r="P124" s="1">
        <v>30.874500000000001</v>
      </c>
      <c r="Q124" s="1">
        <v>13.593999999999999</v>
      </c>
      <c r="R124" s="1">
        <v>37</v>
      </c>
      <c r="S124" s="1">
        <v>53</v>
      </c>
      <c r="T124" s="1">
        <v>0.7822327</v>
      </c>
      <c r="U124" s="1">
        <v>0.18620590000000001</v>
      </c>
      <c r="V124" s="1">
        <v>153</v>
      </c>
      <c r="W124" s="1">
        <v>27.096949899999998</v>
      </c>
      <c r="Y124" s="21">
        <v>40.719639999999998</v>
      </c>
      <c r="Z124" s="21">
        <v>-72.938199999999995</v>
      </c>
      <c r="AC124" s="21">
        <f t="shared" si="27"/>
        <v>1</v>
      </c>
      <c r="AD124" s="21">
        <f t="shared" si="28"/>
        <v>31</v>
      </c>
      <c r="AE124" s="21">
        <f t="shared" si="29"/>
        <v>31</v>
      </c>
      <c r="AF124" s="21">
        <f t="shared" si="30"/>
        <v>31</v>
      </c>
      <c r="AG124" s="21">
        <f t="shared" si="31"/>
        <v>31</v>
      </c>
      <c r="AH124" s="21">
        <f t="shared" si="32"/>
        <v>30</v>
      </c>
      <c r="AI124" s="21">
        <f t="shared" si="33"/>
        <v>5</v>
      </c>
      <c r="AJ124" s="21" t="str">
        <f t="shared" si="34"/>
        <v>PASS</v>
      </c>
      <c r="AK124" s="21" t="str">
        <f t="shared" si="35"/>
        <v>PASS</v>
      </c>
    </row>
    <row r="125" spans="1:37" x14ac:dyDescent="0.25">
      <c r="A125" t="s">
        <v>54</v>
      </c>
      <c r="B125" t="s">
        <v>55</v>
      </c>
      <c r="C125" s="39">
        <v>26.3</v>
      </c>
      <c r="D125" s="21" t="s">
        <v>61</v>
      </c>
      <c r="E125" s="1" t="s">
        <v>62</v>
      </c>
      <c r="F125" s="3" t="s">
        <v>35</v>
      </c>
      <c r="G125" s="1">
        <v>2020</v>
      </c>
      <c r="H125" s="12">
        <v>43952</v>
      </c>
      <c r="I125" s="12">
        <v>44104</v>
      </c>
      <c r="J125" s="1">
        <v>1672.7139999999999</v>
      </c>
      <c r="K125" s="1">
        <v>-14911.900299999999</v>
      </c>
      <c r="L125" s="1">
        <v>10.932771199999999</v>
      </c>
      <c r="M125" s="1">
        <v>-97.463400300000004</v>
      </c>
      <c r="N125" s="1">
        <v>93.754000000000005</v>
      </c>
      <c r="O125" s="1">
        <v>22.678003499999999</v>
      </c>
      <c r="P125" s="1">
        <v>31.739750000000001</v>
      </c>
      <c r="Q125" s="1">
        <v>7.2677500000000004</v>
      </c>
      <c r="R125" s="1">
        <v>29</v>
      </c>
      <c r="S125" s="1">
        <v>35</v>
      </c>
      <c r="T125" s="1">
        <v>1.15833333</v>
      </c>
      <c r="U125" s="1">
        <v>0.33553110000000003</v>
      </c>
      <c r="V125" s="1">
        <v>153</v>
      </c>
      <c r="W125" s="1">
        <v>26.497821399999999</v>
      </c>
      <c r="Y125" s="21">
        <v>40.719639999999998</v>
      </c>
      <c r="Z125" s="21">
        <v>-72.938199999999995</v>
      </c>
      <c r="AC125" s="21">
        <f t="shared" ref="AC125:AC128" si="36">V125/153</f>
        <v>1</v>
      </c>
      <c r="AD125" s="21">
        <f t="shared" ref="AD125:AD128" si="37">MAX(0, MIN(I125, DATE(YEAR(H125),5,31)) - MAX(H125, DATE(YEAR(H125),5,1)) + 1)</f>
        <v>31</v>
      </c>
      <c r="AE125" s="21">
        <f t="shared" ref="AE125:AE128" si="38">MAX(0, MIN(I125, DATE(YEAR(H125),6,31)) - MAX(H125, DATE(YEAR(H125),6,1)) + 1)</f>
        <v>31</v>
      </c>
      <c r="AF125" s="21">
        <f t="shared" ref="AF125:AF128" si="39">MAX(0, MIN(I125, DATE(YEAR(H125),7,31)) - MAX(H125, DATE(YEAR(H125),7,1)) + 1)</f>
        <v>31</v>
      </c>
      <c r="AG125" s="21">
        <f t="shared" ref="AG125:AG128" si="40">MAX(0, MIN(I125, DATE(YEAR(H125),8,31)) - MAX(H125, DATE(YEAR(H125),8,1)) + 1)</f>
        <v>31</v>
      </c>
      <c r="AH125" s="21">
        <f t="shared" ref="AH125:AH128" si="41">MAX(0, MIN(I125, DATE(YEAR(H125),9,31)) - MAX(H125, DATE(YEAR(H125),9,1)) + 1)</f>
        <v>30</v>
      </c>
      <c r="AI125" s="21">
        <f t="shared" ref="AI125:AI128" si="42">COUNTIF(AD125:AH125, "&gt;=10")</f>
        <v>5</v>
      </c>
      <c r="AJ125" s="21" t="str">
        <f t="shared" ref="AJ125:AJ128" si="43">IF(COUNTIF(AD125:AH125,"&gt;=10")&gt;=3,"PASS","FAIL")</f>
        <v>PASS</v>
      </c>
      <c r="AK125" s="21" t="str">
        <f t="shared" ref="AK125:AK128" si="44">IF(AND(AC125&gt;=0.8, COUNTIF(AD125:AH125, "&gt;=10")&gt;=3), "PASS", "FAIL")</f>
        <v>PASS</v>
      </c>
    </row>
    <row r="126" spans="1:37" x14ac:dyDescent="0.25">
      <c r="A126" t="s">
        <v>54</v>
      </c>
      <c r="B126" t="s">
        <v>55</v>
      </c>
      <c r="C126" s="39">
        <v>26.3</v>
      </c>
      <c r="D126" s="21" t="s">
        <v>61</v>
      </c>
      <c r="E126" s="1" t="s">
        <v>62</v>
      </c>
      <c r="F126" s="3" t="s">
        <v>35</v>
      </c>
      <c r="G126" s="1">
        <v>2022</v>
      </c>
      <c r="H126" s="12">
        <v>44682</v>
      </c>
      <c r="I126" s="12">
        <v>44834</v>
      </c>
      <c r="J126" s="1">
        <v>1455.2235000000001</v>
      </c>
      <c r="K126" s="1">
        <v>-13011.223</v>
      </c>
      <c r="L126" s="1">
        <v>9.5112647100000007</v>
      </c>
      <c r="M126" s="1">
        <v>-85.040673200000001</v>
      </c>
      <c r="N126" s="1">
        <v>81.915750000000003</v>
      </c>
      <c r="O126" s="1">
        <v>23.132054199999999</v>
      </c>
      <c r="P126" s="1">
        <v>31.236000000000001</v>
      </c>
      <c r="Q126" s="1">
        <v>7.7074999999999996</v>
      </c>
      <c r="R126" s="1">
        <v>46</v>
      </c>
      <c r="S126" s="1">
        <v>41</v>
      </c>
      <c r="T126" s="1">
        <v>1.0325203300000001</v>
      </c>
      <c r="U126" s="1">
        <v>0.19223092</v>
      </c>
      <c r="V126" s="1">
        <v>153</v>
      </c>
      <c r="W126" s="1">
        <v>27.699018500000001</v>
      </c>
      <c r="Y126" s="21">
        <v>40.719639999999998</v>
      </c>
      <c r="Z126" s="21">
        <v>-72.938199999999995</v>
      </c>
      <c r="AC126" s="21">
        <f t="shared" si="36"/>
        <v>1</v>
      </c>
      <c r="AD126" s="21">
        <f t="shared" si="37"/>
        <v>31</v>
      </c>
      <c r="AE126" s="21">
        <f t="shared" si="38"/>
        <v>31</v>
      </c>
      <c r="AF126" s="21">
        <f t="shared" si="39"/>
        <v>31</v>
      </c>
      <c r="AG126" s="21">
        <f t="shared" si="40"/>
        <v>31</v>
      </c>
      <c r="AH126" s="21">
        <f t="shared" si="41"/>
        <v>30</v>
      </c>
      <c r="AI126" s="21">
        <f t="shared" si="42"/>
        <v>5</v>
      </c>
      <c r="AJ126" s="21" t="str">
        <f t="shared" si="43"/>
        <v>PASS</v>
      </c>
      <c r="AK126" s="21" t="str">
        <f t="shared" si="44"/>
        <v>PASS</v>
      </c>
    </row>
    <row r="127" spans="1:37" x14ac:dyDescent="0.25">
      <c r="A127" t="s">
        <v>54</v>
      </c>
      <c r="B127" t="s">
        <v>55</v>
      </c>
      <c r="C127" s="39">
        <v>26.3</v>
      </c>
      <c r="D127" s="21" t="s">
        <v>61</v>
      </c>
      <c r="E127" s="1" t="s">
        <v>62</v>
      </c>
      <c r="F127" s="3" t="s">
        <v>35</v>
      </c>
      <c r="G127" s="1">
        <v>2023</v>
      </c>
      <c r="H127" s="12">
        <v>45047</v>
      </c>
      <c r="I127" s="12">
        <v>45199</v>
      </c>
      <c r="J127" s="1">
        <v>1509.49225</v>
      </c>
      <c r="K127" s="1">
        <v>-14114.959800000001</v>
      </c>
      <c r="L127" s="1">
        <v>9.8659624200000007</v>
      </c>
      <c r="M127" s="1">
        <v>-92.254638900000003</v>
      </c>
      <c r="N127" s="1">
        <v>74.588499999999996</v>
      </c>
      <c r="O127" s="1">
        <v>22.852598100000002</v>
      </c>
      <c r="P127" s="1">
        <v>31.33775</v>
      </c>
      <c r="Q127" s="1">
        <v>11.81925</v>
      </c>
      <c r="R127" s="1">
        <v>36</v>
      </c>
      <c r="S127" s="1">
        <v>30</v>
      </c>
      <c r="T127" s="1">
        <v>1.35277778</v>
      </c>
      <c r="U127" s="1">
        <v>0.38713205000000001</v>
      </c>
      <c r="V127" s="1">
        <v>153</v>
      </c>
      <c r="W127" s="1">
        <v>26.5250545</v>
      </c>
      <c r="Y127" s="21">
        <v>40.719639999999998</v>
      </c>
      <c r="Z127" s="21">
        <v>-72.938199999999995</v>
      </c>
      <c r="AC127" s="21">
        <f t="shared" si="36"/>
        <v>1</v>
      </c>
      <c r="AD127" s="21">
        <f t="shared" si="37"/>
        <v>31</v>
      </c>
      <c r="AE127" s="21">
        <f t="shared" si="38"/>
        <v>31</v>
      </c>
      <c r="AF127" s="21">
        <f t="shared" si="39"/>
        <v>31</v>
      </c>
      <c r="AG127" s="21">
        <f t="shared" si="40"/>
        <v>31</v>
      </c>
      <c r="AH127" s="21">
        <f t="shared" si="41"/>
        <v>30</v>
      </c>
      <c r="AI127" s="21">
        <f t="shared" si="42"/>
        <v>5</v>
      </c>
      <c r="AJ127" s="21" t="str">
        <f t="shared" si="43"/>
        <v>PASS</v>
      </c>
      <c r="AK127" s="21" t="str">
        <f t="shared" si="44"/>
        <v>PASS</v>
      </c>
    </row>
    <row r="128" spans="1:37" x14ac:dyDescent="0.25">
      <c r="A128" t="s">
        <v>54</v>
      </c>
      <c r="B128" t="s">
        <v>55</v>
      </c>
      <c r="C128" s="39">
        <v>26.3</v>
      </c>
      <c r="D128" s="21" t="s">
        <v>61</v>
      </c>
      <c r="E128" s="1" t="s">
        <v>62</v>
      </c>
      <c r="F128" s="3" t="s">
        <v>35</v>
      </c>
      <c r="G128" s="1">
        <v>2024</v>
      </c>
      <c r="H128" s="12">
        <v>45413</v>
      </c>
      <c r="I128" s="12">
        <v>45565</v>
      </c>
      <c r="J128" s="1">
        <v>1096.30125</v>
      </c>
      <c r="K128" s="1">
        <v>-12264.7148</v>
      </c>
      <c r="L128" s="1">
        <v>7.1653676500000003</v>
      </c>
      <c r="M128" s="1">
        <v>-80.1615343</v>
      </c>
      <c r="N128" s="1">
        <v>73.555999999999997</v>
      </c>
      <c r="O128" s="1">
        <v>23.247859200000001</v>
      </c>
      <c r="P128" s="1">
        <v>30.975999999999999</v>
      </c>
      <c r="Q128" s="1">
        <v>13.509499999999999</v>
      </c>
      <c r="R128" s="1">
        <v>27</v>
      </c>
      <c r="S128" s="1">
        <v>46</v>
      </c>
      <c r="T128" s="1">
        <v>0.77445651999999998</v>
      </c>
      <c r="U128" s="1">
        <v>0.14477604999999999</v>
      </c>
      <c r="V128" s="1">
        <v>153</v>
      </c>
      <c r="W128" s="1">
        <v>23.284313699999998</v>
      </c>
      <c r="Y128" s="21">
        <v>40.719639999999998</v>
      </c>
      <c r="Z128" s="21">
        <v>-72.938199999999995</v>
      </c>
      <c r="AC128" s="21">
        <f t="shared" si="36"/>
        <v>1</v>
      </c>
      <c r="AD128" s="21">
        <f t="shared" si="37"/>
        <v>31</v>
      </c>
      <c r="AE128" s="21">
        <f t="shared" si="38"/>
        <v>31</v>
      </c>
      <c r="AF128" s="21">
        <f t="shared" si="39"/>
        <v>31</v>
      </c>
      <c r="AG128" s="21">
        <f t="shared" si="40"/>
        <v>31</v>
      </c>
      <c r="AH128" s="21">
        <f t="shared" si="41"/>
        <v>30</v>
      </c>
      <c r="AI128" s="21">
        <f t="shared" si="42"/>
        <v>5</v>
      </c>
      <c r="AJ128" s="21" t="str">
        <f t="shared" si="43"/>
        <v>PASS</v>
      </c>
      <c r="AK128" s="21" t="str">
        <f t="shared" si="44"/>
        <v>PASS</v>
      </c>
    </row>
    <row r="129" spans="1:37" x14ac:dyDescent="0.25">
      <c r="A129" t="s">
        <v>54</v>
      </c>
      <c r="B129" t="s">
        <v>55</v>
      </c>
      <c r="C129" s="39">
        <v>26.3</v>
      </c>
      <c r="D129" s="21" t="s">
        <v>61</v>
      </c>
      <c r="E129" s="1" t="s">
        <v>62</v>
      </c>
      <c r="F129" t="s">
        <v>37</v>
      </c>
      <c r="G129" s="1">
        <v>2021</v>
      </c>
      <c r="H129" s="12">
        <v>44317</v>
      </c>
      <c r="I129" s="12">
        <v>44469</v>
      </c>
      <c r="J129" s="1">
        <v>517.46074999999996</v>
      </c>
      <c r="K129" s="1">
        <v>-13859.4969</v>
      </c>
      <c r="L129" s="1">
        <v>3.3820964099999999</v>
      </c>
      <c r="M129" s="1">
        <v>-90.584947200000002</v>
      </c>
      <c r="N129" s="1">
        <v>50.119250000000001</v>
      </c>
      <c r="O129" s="1">
        <v>22.651987200000001</v>
      </c>
      <c r="P129" s="1">
        <v>29.715</v>
      </c>
      <c r="Q129" s="1">
        <v>11.728</v>
      </c>
      <c r="R129" s="1">
        <v>11</v>
      </c>
      <c r="S129" s="1">
        <v>36</v>
      </c>
      <c r="T129" s="1">
        <v>0.62037036999999995</v>
      </c>
      <c r="U129" s="1">
        <v>0.12628067000000001</v>
      </c>
      <c r="V129" s="1">
        <v>153</v>
      </c>
      <c r="W129" s="1">
        <v>14.5969499</v>
      </c>
      <c r="Y129" s="21">
        <v>40.719639999999998</v>
      </c>
      <c r="Z129" s="21">
        <v>-72.938199999999995</v>
      </c>
      <c r="AC129" s="21">
        <f t="shared" ref="AC129:AC133" si="45">V129/153</f>
        <v>1</v>
      </c>
      <c r="AD129" s="21">
        <f t="shared" ref="AD129:AD133" si="46">MAX(0, MIN(I129, DATE(YEAR(H129),5,31)) - MAX(H129, DATE(YEAR(H129),5,1)) + 1)</f>
        <v>31</v>
      </c>
      <c r="AE129" s="21">
        <f t="shared" ref="AE129:AE133" si="47">MAX(0, MIN(I129, DATE(YEAR(H129),6,31)) - MAX(H129, DATE(YEAR(H129),6,1)) + 1)</f>
        <v>31</v>
      </c>
      <c r="AF129" s="21">
        <f t="shared" ref="AF129:AF133" si="48">MAX(0, MIN(I129, DATE(YEAR(H129),7,31)) - MAX(H129, DATE(YEAR(H129),7,1)) + 1)</f>
        <v>31</v>
      </c>
      <c r="AG129" s="21">
        <f t="shared" ref="AG129:AG133" si="49">MAX(0, MIN(I129, DATE(YEAR(H129),8,31)) - MAX(H129, DATE(YEAR(H129),8,1)) + 1)</f>
        <v>31</v>
      </c>
      <c r="AH129" s="21">
        <f t="shared" ref="AH129:AH133" si="50">MAX(0, MIN(I129, DATE(YEAR(H129),9,31)) - MAX(H129, DATE(YEAR(H129),9,1)) + 1)</f>
        <v>30</v>
      </c>
      <c r="AI129" s="21">
        <f t="shared" ref="AI129:AI133" si="51">COUNTIF(AD129:AH129, "&gt;=10")</f>
        <v>5</v>
      </c>
      <c r="AJ129" s="21" t="str">
        <f t="shared" ref="AJ129:AJ133" si="52">IF(COUNTIF(AD129:AH129,"&gt;=10")&gt;=3,"PASS","FAIL")</f>
        <v>PASS</v>
      </c>
      <c r="AK129" s="21" t="str">
        <f t="shared" ref="AK129:AK133" si="53">IF(AND(AC129&gt;=0.8, COUNTIF(AD129:AH129, "&gt;=10")&gt;=3), "PASS", "FAIL")</f>
        <v>PASS</v>
      </c>
    </row>
    <row r="130" spans="1:37" x14ac:dyDescent="0.25">
      <c r="A130" t="s">
        <v>54</v>
      </c>
      <c r="B130" t="s">
        <v>55</v>
      </c>
      <c r="C130" s="39">
        <v>26.3</v>
      </c>
      <c r="D130" s="21" t="s">
        <v>61</v>
      </c>
      <c r="E130" s="1" t="s">
        <v>62</v>
      </c>
      <c r="F130" t="s">
        <v>37</v>
      </c>
      <c r="G130" s="1">
        <v>2022</v>
      </c>
      <c r="H130" s="12">
        <v>44682</v>
      </c>
      <c r="I130" s="12">
        <v>44834</v>
      </c>
      <c r="J130" s="1">
        <v>1080.67075</v>
      </c>
      <c r="K130" s="1">
        <v>-13381.626</v>
      </c>
      <c r="L130" s="1">
        <v>7.0632075199999997</v>
      </c>
      <c r="M130" s="1">
        <v>-87.461607799999996</v>
      </c>
      <c r="N130" s="1">
        <v>74.270250000000004</v>
      </c>
      <c r="O130" s="1">
        <v>22.928943199999999</v>
      </c>
      <c r="P130" s="1">
        <v>30.4695</v>
      </c>
      <c r="Q130" s="1">
        <v>8.2575000000000003</v>
      </c>
      <c r="R130" s="1">
        <v>38</v>
      </c>
      <c r="S130" s="1">
        <v>33</v>
      </c>
      <c r="T130" s="1">
        <v>1.1452020199999999</v>
      </c>
      <c r="U130" s="1">
        <v>0.34535381999999998</v>
      </c>
      <c r="V130" s="1">
        <v>153</v>
      </c>
      <c r="W130" s="1">
        <v>24.727371900000001</v>
      </c>
      <c r="Y130" s="21">
        <v>40.719639999999998</v>
      </c>
      <c r="Z130" s="21">
        <v>-72.938199999999995</v>
      </c>
      <c r="AC130" s="21">
        <f t="shared" si="45"/>
        <v>1</v>
      </c>
      <c r="AD130" s="21">
        <f t="shared" si="46"/>
        <v>31</v>
      </c>
      <c r="AE130" s="21">
        <f t="shared" si="47"/>
        <v>31</v>
      </c>
      <c r="AF130" s="21">
        <f t="shared" si="48"/>
        <v>31</v>
      </c>
      <c r="AG130" s="21">
        <f t="shared" si="49"/>
        <v>31</v>
      </c>
      <c r="AH130" s="21">
        <f t="shared" si="50"/>
        <v>30</v>
      </c>
      <c r="AI130" s="21">
        <f t="shared" si="51"/>
        <v>5</v>
      </c>
      <c r="AJ130" s="21" t="str">
        <f t="shared" si="52"/>
        <v>PASS</v>
      </c>
      <c r="AK130" s="21" t="str">
        <f t="shared" si="53"/>
        <v>PASS</v>
      </c>
    </row>
    <row r="131" spans="1:37" x14ac:dyDescent="0.25">
      <c r="A131" t="s">
        <v>54</v>
      </c>
      <c r="B131" t="s">
        <v>55</v>
      </c>
      <c r="C131" s="39">
        <v>26.3</v>
      </c>
      <c r="D131" s="21" t="s">
        <v>61</v>
      </c>
      <c r="E131" s="1" t="s">
        <v>62</v>
      </c>
      <c r="F131" t="s">
        <v>37</v>
      </c>
      <c r="G131" s="1">
        <v>2023</v>
      </c>
      <c r="H131" s="12">
        <v>45047</v>
      </c>
      <c r="I131" s="12">
        <v>45199</v>
      </c>
      <c r="J131" s="1">
        <v>1164.7170000000001</v>
      </c>
      <c r="K131" s="1">
        <v>-14543.8405</v>
      </c>
      <c r="L131" s="1">
        <v>7.6125294099999996</v>
      </c>
      <c r="M131" s="1">
        <v>-95.057781000000006</v>
      </c>
      <c r="N131" s="1">
        <v>67.134749999999997</v>
      </c>
      <c r="O131" s="1">
        <v>22.641410499999999</v>
      </c>
      <c r="P131" s="1">
        <v>29.802499999999998</v>
      </c>
      <c r="Q131" s="1">
        <v>11.698</v>
      </c>
      <c r="R131" s="1">
        <v>33</v>
      </c>
      <c r="S131" s="1">
        <v>23</v>
      </c>
      <c r="T131" s="1">
        <v>1.6068840600000001</v>
      </c>
      <c r="U131" s="1">
        <v>0.48651830000000001</v>
      </c>
      <c r="V131" s="1">
        <v>153</v>
      </c>
      <c r="W131" s="1">
        <v>24.155773400000001</v>
      </c>
      <c r="Y131" s="21">
        <v>40.719639999999998</v>
      </c>
      <c r="Z131" s="21">
        <v>-72.938199999999995</v>
      </c>
      <c r="AC131" s="21">
        <f t="shared" si="45"/>
        <v>1</v>
      </c>
      <c r="AD131" s="21">
        <f t="shared" si="46"/>
        <v>31</v>
      </c>
      <c r="AE131" s="21">
        <f t="shared" si="47"/>
        <v>31</v>
      </c>
      <c r="AF131" s="21">
        <f t="shared" si="48"/>
        <v>31</v>
      </c>
      <c r="AG131" s="21">
        <f t="shared" si="49"/>
        <v>31</v>
      </c>
      <c r="AH131" s="21">
        <f t="shared" si="50"/>
        <v>30</v>
      </c>
      <c r="AI131" s="21">
        <f t="shared" si="51"/>
        <v>5</v>
      </c>
      <c r="AJ131" s="21" t="str">
        <f t="shared" si="52"/>
        <v>PASS</v>
      </c>
      <c r="AK131" s="21" t="str">
        <f t="shared" si="53"/>
        <v>PASS</v>
      </c>
    </row>
    <row r="132" spans="1:37" x14ac:dyDescent="0.25">
      <c r="A132" t="s">
        <v>54</v>
      </c>
      <c r="B132" t="s">
        <v>55</v>
      </c>
      <c r="C132" s="39">
        <v>26.3</v>
      </c>
      <c r="D132" s="21" t="s">
        <v>61</v>
      </c>
      <c r="E132" s="1" t="s">
        <v>62</v>
      </c>
      <c r="F132" t="s">
        <v>37</v>
      </c>
      <c r="G132" s="1">
        <v>2024</v>
      </c>
      <c r="H132" s="12">
        <v>45413</v>
      </c>
      <c r="I132" s="12">
        <v>45565</v>
      </c>
      <c r="J132" s="1">
        <v>736.72675000000004</v>
      </c>
      <c r="K132" s="1">
        <v>-12391.671</v>
      </c>
      <c r="L132" s="1">
        <v>4.8152075200000004</v>
      </c>
      <c r="M132" s="1">
        <v>-80.991313700000006</v>
      </c>
      <c r="N132" s="1">
        <v>61.387999999999998</v>
      </c>
      <c r="O132" s="1">
        <v>23.114745599999999</v>
      </c>
      <c r="P132" s="1">
        <v>30.2805</v>
      </c>
      <c r="Q132" s="1">
        <v>13.773999999999999</v>
      </c>
      <c r="R132" s="1">
        <v>24</v>
      </c>
      <c r="S132" s="1">
        <v>32</v>
      </c>
      <c r="T132" s="1">
        <v>0.94661457999999998</v>
      </c>
      <c r="U132" s="1">
        <v>0.24883685999999999</v>
      </c>
      <c r="V132" s="1">
        <v>153</v>
      </c>
      <c r="W132" s="1">
        <v>19.798474899999999</v>
      </c>
      <c r="Y132" s="21">
        <v>40.719639999999998</v>
      </c>
      <c r="Z132" s="21">
        <v>-72.938199999999995</v>
      </c>
      <c r="AC132" s="21">
        <f t="shared" si="45"/>
        <v>1</v>
      </c>
      <c r="AD132" s="21">
        <f t="shared" si="46"/>
        <v>31</v>
      </c>
      <c r="AE132" s="21">
        <f t="shared" si="47"/>
        <v>31</v>
      </c>
      <c r="AF132" s="21">
        <f t="shared" si="48"/>
        <v>31</v>
      </c>
      <c r="AG132" s="21">
        <f t="shared" si="49"/>
        <v>31</v>
      </c>
      <c r="AH132" s="21">
        <f t="shared" si="50"/>
        <v>30</v>
      </c>
      <c r="AI132" s="21">
        <f t="shared" si="51"/>
        <v>5</v>
      </c>
      <c r="AJ132" s="21" t="str">
        <f t="shared" si="52"/>
        <v>PASS</v>
      </c>
      <c r="AK132" s="21" t="str">
        <f t="shared" si="53"/>
        <v>PASS</v>
      </c>
    </row>
    <row r="133" spans="1:37" x14ac:dyDescent="0.25">
      <c r="A133" t="s">
        <v>54</v>
      </c>
      <c r="B133" t="s">
        <v>55</v>
      </c>
      <c r="C133" s="39">
        <v>26.3</v>
      </c>
      <c r="D133" s="21" t="s">
        <v>56</v>
      </c>
      <c r="E133" s="1" t="s">
        <v>57</v>
      </c>
      <c r="F133" t="s">
        <v>32</v>
      </c>
      <c r="G133" s="1">
        <v>2024</v>
      </c>
      <c r="H133" s="12">
        <v>45413</v>
      </c>
      <c r="I133" s="12">
        <v>45565</v>
      </c>
      <c r="J133" s="1">
        <v>241.55033299999999</v>
      </c>
      <c r="K133" s="1">
        <v>-18532.071</v>
      </c>
      <c r="L133" s="1">
        <v>1.57876035</v>
      </c>
      <c r="M133" s="1">
        <v>-121.124647</v>
      </c>
      <c r="N133" s="1">
        <v>24.044499999999999</v>
      </c>
      <c r="O133" s="1">
        <v>21.304840200000001</v>
      </c>
      <c r="P133" s="1">
        <v>30.167000000000002</v>
      </c>
      <c r="Q133" s="1">
        <v>11.212</v>
      </c>
      <c r="R133" s="1">
        <v>9</v>
      </c>
      <c r="S133" s="1">
        <v>42</v>
      </c>
      <c r="T133" s="1">
        <v>0.20138888999999999</v>
      </c>
      <c r="U133" s="1">
        <v>1.685654E-2</v>
      </c>
      <c r="V133" s="1">
        <v>153</v>
      </c>
      <c r="W133" s="1">
        <v>5.5283224400000002</v>
      </c>
      <c r="Y133" s="21">
        <v>40.766390000000001</v>
      </c>
      <c r="Z133" s="21">
        <v>-72.787999999999997</v>
      </c>
      <c r="AC133" s="21">
        <f t="shared" si="45"/>
        <v>1</v>
      </c>
      <c r="AD133" s="21">
        <f t="shared" si="46"/>
        <v>31</v>
      </c>
      <c r="AE133" s="21">
        <f t="shared" si="47"/>
        <v>31</v>
      </c>
      <c r="AF133" s="21">
        <f t="shared" si="48"/>
        <v>31</v>
      </c>
      <c r="AG133" s="21">
        <f t="shared" si="49"/>
        <v>31</v>
      </c>
      <c r="AH133" s="21">
        <f t="shared" si="50"/>
        <v>30</v>
      </c>
      <c r="AI133" s="21">
        <f t="shared" si="51"/>
        <v>5</v>
      </c>
      <c r="AJ133" s="21" t="str">
        <f t="shared" si="52"/>
        <v>PASS</v>
      </c>
      <c r="AK133" s="21" t="str">
        <f t="shared" si="53"/>
        <v>PASS</v>
      </c>
    </row>
    <row r="134" spans="1:37" x14ac:dyDescent="0.25">
      <c r="A134" t="s">
        <v>54</v>
      </c>
      <c r="B134" t="s">
        <v>55</v>
      </c>
      <c r="C134" s="39">
        <v>26.3</v>
      </c>
      <c r="D134" s="21" t="s">
        <v>56</v>
      </c>
      <c r="E134" s="1" t="s">
        <v>57</v>
      </c>
      <c r="F134" t="s">
        <v>35</v>
      </c>
      <c r="G134" s="1">
        <v>2022</v>
      </c>
      <c r="H134" s="12">
        <v>44682</v>
      </c>
      <c r="I134" s="12">
        <v>44834</v>
      </c>
      <c r="J134" s="1">
        <v>559.37099999999998</v>
      </c>
      <c r="K134" s="1">
        <v>-17654.659800000001</v>
      </c>
      <c r="L134" s="1">
        <v>3.65601961</v>
      </c>
      <c r="M134" s="1">
        <v>-115.389933</v>
      </c>
      <c r="N134" s="1">
        <v>40.456249999999997</v>
      </c>
      <c r="O134" s="1">
        <v>21.629637800000001</v>
      </c>
      <c r="P134" s="1">
        <v>30.248999999999999</v>
      </c>
      <c r="Q134" s="1">
        <v>8.6929999999999996</v>
      </c>
      <c r="R134" s="1">
        <v>27</v>
      </c>
      <c r="S134" s="1">
        <v>52</v>
      </c>
      <c r="T134" s="1">
        <v>0.41025641000000002</v>
      </c>
      <c r="U134" s="1">
        <v>8.5492269999999995E-2</v>
      </c>
      <c r="V134" s="1">
        <v>153</v>
      </c>
      <c r="W134" s="1">
        <v>13.9433551</v>
      </c>
      <c r="Y134" s="21">
        <v>40.766390000000001</v>
      </c>
      <c r="Z134" s="21">
        <v>-72.787999999999997</v>
      </c>
      <c r="AC134" s="21">
        <f t="shared" ref="AC134:AC137" si="54">V134/153</f>
        <v>1</v>
      </c>
      <c r="AD134" s="21">
        <f t="shared" ref="AD134:AD137" si="55">MAX(0, MIN(I134, DATE(YEAR(H134),5,31)) - MAX(H134, DATE(YEAR(H134),5,1)) + 1)</f>
        <v>31</v>
      </c>
      <c r="AE134" s="21">
        <f t="shared" ref="AE134:AE137" si="56">MAX(0, MIN(I134, DATE(YEAR(H134),6,31)) - MAX(H134, DATE(YEAR(H134),6,1)) + 1)</f>
        <v>31</v>
      </c>
      <c r="AF134" s="21">
        <f t="shared" ref="AF134:AF137" si="57">MAX(0, MIN(I134, DATE(YEAR(H134),7,31)) - MAX(H134, DATE(YEAR(H134),7,1)) + 1)</f>
        <v>31</v>
      </c>
      <c r="AG134" s="21">
        <f t="shared" ref="AG134:AG137" si="58">MAX(0, MIN(I134, DATE(YEAR(H134),8,31)) - MAX(H134, DATE(YEAR(H134),8,1)) + 1)</f>
        <v>31</v>
      </c>
      <c r="AH134" s="21">
        <f t="shared" ref="AH134:AH137" si="59">MAX(0, MIN(I134, DATE(YEAR(H134),9,31)) - MAX(H134, DATE(YEAR(H134),9,1)) + 1)</f>
        <v>30</v>
      </c>
      <c r="AI134" s="21">
        <f t="shared" ref="AI134:AI137" si="60">COUNTIF(AD134:AH134, "&gt;=10")</f>
        <v>5</v>
      </c>
      <c r="AJ134" s="21" t="str">
        <f t="shared" ref="AJ134:AJ137" si="61">IF(COUNTIF(AD134:AH134,"&gt;=10")&gt;=3,"PASS","FAIL")</f>
        <v>PASS</v>
      </c>
      <c r="AK134" s="21" t="str">
        <f t="shared" ref="AK134:AK137" si="62">IF(AND(AC134&gt;=0.8, COUNTIF(AD134:AH134, "&gt;=10")&gt;=3), "PASS", "FAIL")</f>
        <v>PASS</v>
      </c>
    </row>
    <row r="135" spans="1:37" x14ac:dyDescent="0.25">
      <c r="A135" t="s">
        <v>54</v>
      </c>
      <c r="B135" t="s">
        <v>55</v>
      </c>
      <c r="C135" s="39">
        <v>26.3</v>
      </c>
      <c r="D135" s="21" t="s">
        <v>56</v>
      </c>
      <c r="E135" s="1" t="s">
        <v>57</v>
      </c>
      <c r="F135" t="s">
        <v>35</v>
      </c>
      <c r="G135" s="1">
        <v>2023</v>
      </c>
      <c r="H135" s="12">
        <v>45047</v>
      </c>
      <c r="I135" s="12">
        <v>45199</v>
      </c>
      <c r="J135" s="1">
        <v>362.3</v>
      </c>
      <c r="K135" s="1">
        <v>-18785.3943</v>
      </c>
      <c r="L135" s="1">
        <v>2.3679738600000002</v>
      </c>
      <c r="M135" s="1">
        <v>-122.780355</v>
      </c>
      <c r="N135" s="1">
        <v>43.566499999999998</v>
      </c>
      <c r="O135" s="1">
        <v>21.267413999999999</v>
      </c>
      <c r="P135" s="1">
        <v>29.959499999999998</v>
      </c>
      <c r="Q135" s="1">
        <v>10.540749999999999</v>
      </c>
      <c r="R135" s="1">
        <v>16</v>
      </c>
      <c r="S135" s="1">
        <v>41</v>
      </c>
      <c r="T135" s="1">
        <v>0.33638211000000001</v>
      </c>
      <c r="U135" s="1">
        <v>4.1472879999999997E-2</v>
      </c>
      <c r="V135" s="1">
        <v>153</v>
      </c>
      <c r="W135" s="1">
        <v>9.0141612200000001</v>
      </c>
      <c r="Y135" s="21">
        <v>40.766390000000001</v>
      </c>
      <c r="Z135" s="21">
        <v>-72.787999999999997</v>
      </c>
      <c r="AC135" s="21">
        <f t="shared" si="54"/>
        <v>1</v>
      </c>
      <c r="AD135" s="21">
        <f t="shared" si="55"/>
        <v>31</v>
      </c>
      <c r="AE135" s="21">
        <f t="shared" si="56"/>
        <v>31</v>
      </c>
      <c r="AF135" s="21">
        <f t="shared" si="57"/>
        <v>31</v>
      </c>
      <c r="AG135" s="21">
        <f t="shared" si="58"/>
        <v>31</v>
      </c>
      <c r="AH135" s="21">
        <f t="shared" si="59"/>
        <v>30</v>
      </c>
      <c r="AI135" s="21">
        <f t="shared" si="60"/>
        <v>5</v>
      </c>
      <c r="AJ135" s="21" t="str">
        <f t="shared" si="61"/>
        <v>PASS</v>
      </c>
      <c r="AK135" s="21" t="str">
        <f t="shared" si="62"/>
        <v>PASS</v>
      </c>
    </row>
    <row r="136" spans="1:37" x14ac:dyDescent="0.25">
      <c r="A136" t="s">
        <v>54</v>
      </c>
      <c r="B136" t="s">
        <v>55</v>
      </c>
      <c r="C136" s="39">
        <v>26.3</v>
      </c>
      <c r="D136" s="21" t="s">
        <v>56</v>
      </c>
      <c r="E136" s="1" t="s">
        <v>57</v>
      </c>
      <c r="F136" t="s">
        <v>35</v>
      </c>
      <c r="G136" s="1">
        <v>2024</v>
      </c>
      <c r="H136" s="12">
        <v>45413</v>
      </c>
      <c r="I136" s="12">
        <v>45565</v>
      </c>
      <c r="J136" s="1">
        <v>193.872917</v>
      </c>
      <c r="K136" s="1">
        <v>-18851.386299999998</v>
      </c>
      <c r="L136" s="1">
        <v>1.2671432499999999</v>
      </c>
      <c r="M136" s="1">
        <v>-123.211675</v>
      </c>
      <c r="N136" s="1">
        <v>23.040749999999999</v>
      </c>
      <c r="O136" s="1">
        <v>21.204837000000001</v>
      </c>
      <c r="P136" s="1">
        <v>30.047499999999999</v>
      </c>
      <c r="Q136" s="1">
        <v>11.236000000000001</v>
      </c>
      <c r="R136" s="1">
        <v>8</v>
      </c>
      <c r="S136" s="1">
        <v>38</v>
      </c>
      <c r="T136" s="1">
        <v>0.19188595999999999</v>
      </c>
      <c r="U136" s="1">
        <v>1.710971E-2</v>
      </c>
      <c r="V136" s="1">
        <v>153</v>
      </c>
      <c r="W136" s="1">
        <v>4.7657952100000003</v>
      </c>
      <c r="Y136" s="21">
        <v>40.766390000000001</v>
      </c>
      <c r="Z136" s="21">
        <v>-72.787999999999997</v>
      </c>
      <c r="AC136" s="21">
        <f t="shared" si="54"/>
        <v>1</v>
      </c>
      <c r="AD136" s="21">
        <f t="shared" si="55"/>
        <v>31</v>
      </c>
      <c r="AE136" s="21">
        <f t="shared" si="56"/>
        <v>31</v>
      </c>
      <c r="AF136" s="21">
        <f t="shared" si="57"/>
        <v>31</v>
      </c>
      <c r="AG136" s="21">
        <f t="shared" si="58"/>
        <v>31</v>
      </c>
      <c r="AH136" s="21">
        <f t="shared" si="59"/>
        <v>30</v>
      </c>
      <c r="AI136" s="21">
        <f t="shared" si="60"/>
        <v>5</v>
      </c>
      <c r="AJ136" s="21" t="str">
        <f t="shared" si="61"/>
        <v>PASS</v>
      </c>
      <c r="AK136" s="21" t="str">
        <f t="shared" si="62"/>
        <v>PASS</v>
      </c>
    </row>
    <row r="137" spans="1:37" x14ac:dyDescent="0.25">
      <c r="A137" t="s">
        <v>54</v>
      </c>
      <c r="B137" t="s">
        <v>55</v>
      </c>
      <c r="C137" s="39">
        <v>26.3</v>
      </c>
      <c r="D137" s="21" t="s">
        <v>56</v>
      </c>
      <c r="E137" s="1" t="s">
        <v>57</v>
      </c>
      <c r="F137" t="s">
        <v>37</v>
      </c>
      <c r="G137" s="1">
        <v>2022</v>
      </c>
      <c r="H137" s="12">
        <v>44682</v>
      </c>
      <c r="I137" s="12">
        <v>44834</v>
      </c>
      <c r="J137" s="1">
        <v>331.4495</v>
      </c>
      <c r="K137" s="1">
        <v>-18185.879000000001</v>
      </c>
      <c r="L137" s="1">
        <v>2.1663366000000002</v>
      </c>
      <c r="M137" s="1">
        <v>-118.861954</v>
      </c>
      <c r="N137" s="1">
        <v>29.759</v>
      </c>
      <c r="O137" s="1">
        <v>21.4225061</v>
      </c>
      <c r="P137" s="1">
        <v>29.696249999999999</v>
      </c>
      <c r="Q137" s="1">
        <v>8.6617499999999996</v>
      </c>
      <c r="R137" s="1">
        <v>11</v>
      </c>
      <c r="S137" s="1">
        <v>43</v>
      </c>
      <c r="T137" s="1">
        <v>0.35077519000000001</v>
      </c>
      <c r="U137" s="1">
        <v>5.8880399999999999E-2</v>
      </c>
      <c r="V137" s="1">
        <v>153</v>
      </c>
      <c r="W137" s="1">
        <v>9.8583877999999991</v>
      </c>
      <c r="Y137" s="21">
        <v>40.766390000000001</v>
      </c>
      <c r="Z137" s="21">
        <v>-72.787999999999997</v>
      </c>
      <c r="AC137" s="21">
        <f t="shared" si="54"/>
        <v>1</v>
      </c>
      <c r="AD137" s="21">
        <f t="shared" si="55"/>
        <v>31</v>
      </c>
      <c r="AE137" s="21">
        <f t="shared" si="56"/>
        <v>31</v>
      </c>
      <c r="AF137" s="21">
        <f t="shared" si="57"/>
        <v>31</v>
      </c>
      <c r="AG137" s="21">
        <f t="shared" si="58"/>
        <v>31</v>
      </c>
      <c r="AH137" s="21">
        <f t="shared" si="59"/>
        <v>30</v>
      </c>
      <c r="AI137" s="21">
        <f t="shared" si="60"/>
        <v>5</v>
      </c>
      <c r="AJ137" s="21" t="str">
        <f t="shared" si="61"/>
        <v>PASS</v>
      </c>
      <c r="AK137" s="21" t="str">
        <f t="shared" si="62"/>
        <v>PASS</v>
      </c>
    </row>
    <row r="138" spans="1:37" x14ac:dyDescent="0.25">
      <c r="A138" s="32" t="s">
        <v>28</v>
      </c>
      <c r="B138" s="32" t="s">
        <v>29</v>
      </c>
      <c r="C138" s="32">
        <v>25</v>
      </c>
      <c r="D138" s="32" t="s">
        <v>127</v>
      </c>
      <c r="E138" s="20" t="s">
        <v>128</v>
      </c>
      <c r="F138" s="32" t="s">
        <v>37</v>
      </c>
      <c r="G138" s="20">
        <v>2023</v>
      </c>
      <c r="H138" s="12">
        <v>45047</v>
      </c>
      <c r="I138" s="12">
        <v>45199</v>
      </c>
      <c r="J138" s="20">
        <v>306.18058300000001</v>
      </c>
      <c r="K138" s="20">
        <v>-20836.740600000001</v>
      </c>
      <c r="L138" s="20">
        <v>2.0011802799999998</v>
      </c>
      <c r="M138" s="20">
        <v>-136.187847</v>
      </c>
      <c r="N138" s="20">
        <v>35.016500000000001</v>
      </c>
      <c r="O138" s="20">
        <v>19.395082200000001</v>
      </c>
      <c r="P138" s="20">
        <v>27.973500000000001</v>
      </c>
      <c r="Q138" s="20">
        <v>8.0824999999999996</v>
      </c>
      <c r="R138" s="20">
        <v>16</v>
      </c>
      <c r="S138" s="20">
        <v>33</v>
      </c>
      <c r="T138" s="20">
        <v>0.49494948999999999</v>
      </c>
      <c r="U138" s="20">
        <v>0.14791264000000001</v>
      </c>
      <c r="V138" s="20">
        <v>153</v>
      </c>
      <c r="W138" s="20">
        <v>10.6753813</v>
      </c>
      <c r="X138" s="32"/>
      <c r="Y138" s="40">
        <v>42.058399000000001</v>
      </c>
      <c r="Z138" s="40">
        <v>-70.161844000000002</v>
      </c>
      <c r="AA138" s="32"/>
      <c r="AB138" s="32"/>
      <c r="AC138" s="41">
        <v>1</v>
      </c>
      <c r="AD138" s="41">
        <v>31</v>
      </c>
      <c r="AE138" s="41">
        <v>31</v>
      </c>
      <c r="AF138" s="41">
        <v>31</v>
      </c>
      <c r="AG138" s="41">
        <v>31</v>
      </c>
      <c r="AH138" s="41">
        <v>30</v>
      </c>
      <c r="AI138" s="41">
        <v>5</v>
      </c>
      <c r="AJ138" s="41" t="s">
        <v>172</v>
      </c>
      <c r="AK138" s="41" t="s">
        <v>172</v>
      </c>
    </row>
    <row r="139" spans="1:37" x14ac:dyDescent="0.25">
      <c r="A139" s="32" t="s">
        <v>28</v>
      </c>
      <c r="B139" s="32" t="s">
        <v>29</v>
      </c>
      <c r="C139" s="32">
        <v>25</v>
      </c>
      <c r="D139" s="32" t="s">
        <v>127</v>
      </c>
      <c r="E139" s="20" t="s">
        <v>128</v>
      </c>
      <c r="F139" s="32" t="s">
        <v>37</v>
      </c>
      <c r="G139" s="20">
        <v>2024</v>
      </c>
      <c r="H139" s="12">
        <v>45413</v>
      </c>
      <c r="I139" s="12">
        <v>45565</v>
      </c>
      <c r="J139" s="20">
        <v>17.842500000000001</v>
      </c>
      <c r="K139" s="20">
        <v>-20644.882600000001</v>
      </c>
      <c r="L139" s="20">
        <v>0.13517045</v>
      </c>
      <c r="M139" s="20">
        <v>-156.40062499999999</v>
      </c>
      <c r="N139" s="20">
        <v>14.395250000000001</v>
      </c>
      <c r="O139" s="20">
        <v>18.438853300000002</v>
      </c>
      <c r="P139" s="20">
        <v>26.84225</v>
      </c>
      <c r="Q139" s="20">
        <v>7.9874999999999998</v>
      </c>
      <c r="R139" s="20">
        <v>5</v>
      </c>
      <c r="S139" s="20">
        <v>4</v>
      </c>
      <c r="T139" s="20">
        <v>0.32291667000000002</v>
      </c>
      <c r="U139" s="20">
        <v>0.14370974</v>
      </c>
      <c r="V139" s="20">
        <v>132</v>
      </c>
      <c r="W139" s="20">
        <v>0.98443950000000002</v>
      </c>
      <c r="X139" s="32"/>
      <c r="Y139" s="40">
        <v>42.058399000000001</v>
      </c>
      <c r="Z139" s="40">
        <v>-70.161844000000002</v>
      </c>
      <c r="AA139" s="32"/>
      <c r="AB139" s="32"/>
      <c r="AC139" s="41">
        <v>0.86274509799999999</v>
      </c>
      <c r="AD139" s="41">
        <v>31</v>
      </c>
      <c r="AE139" s="41">
        <v>31</v>
      </c>
      <c r="AF139" s="41">
        <v>31</v>
      </c>
      <c r="AG139" s="41">
        <v>31</v>
      </c>
      <c r="AH139" s="41">
        <v>30</v>
      </c>
      <c r="AI139" s="41">
        <v>5</v>
      </c>
      <c r="AJ139" s="41" t="s">
        <v>172</v>
      </c>
      <c r="AK139" s="41" t="s">
        <v>172</v>
      </c>
    </row>
  </sheetData>
  <autoFilter ref="A1:AK137" xr:uid="{4573B4BA-CB31-49B4-ABC2-F6AC4FA62BB7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61B9-88F6-4C38-A1FB-6F30FFCDF171}">
  <dimension ref="A1:Z50"/>
  <sheetViews>
    <sheetView workbookViewId="0">
      <pane ySplit="1" topLeftCell="A2" activePane="bottomLeft" state="frozen"/>
      <selection activeCell="B1" sqref="B1"/>
      <selection pane="bottomLeft" activeCell="W20" sqref="W20"/>
    </sheetView>
  </sheetViews>
  <sheetFormatPr defaultRowHeight="15" x14ac:dyDescent="0.25"/>
  <cols>
    <col min="3" max="3" width="12.7109375" customWidth="1"/>
    <col min="4" max="4" width="23" bestFit="1" customWidth="1"/>
    <col min="5" max="5" width="14.5703125" customWidth="1"/>
    <col min="6" max="7" width="10.42578125" bestFit="1" customWidth="1"/>
    <col min="10" max="10" width="9.28515625" bestFit="1" customWidth="1"/>
    <col min="11" max="11" width="17.28515625" customWidth="1"/>
    <col min="13" max="13" width="9.28515625" bestFit="1" customWidth="1"/>
    <col min="16" max="16" width="14" customWidth="1"/>
    <col min="17" max="17" width="24.7109375" bestFit="1" customWidth="1"/>
    <col min="18" max="18" width="14" customWidth="1"/>
    <col min="21" max="21" width="10.42578125" bestFit="1" customWidth="1"/>
    <col min="25" max="25" width="57.85546875" customWidth="1"/>
  </cols>
  <sheetData>
    <row r="1" spans="1:26" x14ac:dyDescent="0.25">
      <c r="A1" s="3" t="s">
        <v>0</v>
      </c>
      <c r="B1" s="3" t="s">
        <v>1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170</v>
      </c>
      <c r="V1" s="3" t="s">
        <v>22</v>
      </c>
      <c r="W1" s="3" t="s">
        <v>23</v>
      </c>
      <c r="X1" s="3" t="s">
        <v>24</v>
      </c>
      <c r="Y1" s="3" t="s">
        <v>25</v>
      </c>
      <c r="Z1" s="4" t="s">
        <v>26</v>
      </c>
    </row>
    <row r="2" spans="1:26" x14ac:dyDescent="0.25">
      <c r="A2" t="s">
        <v>28</v>
      </c>
      <c r="B2" s="6" t="s">
        <v>29</v>
      </c>
      <c r="C2" s="6" t="s">
        <v>30</v>
      </c>
      <c r="D2" s="7" t="s">
        <v>31</v>
      </c>
      <c r="E2" s="7" t="s">
        <v>32</v>
      </c>
      <c r="F2" s="13">
        <v>37789</v>
      </c>
      <c r="G2" s="13">
        <v>45862</v>
      </c>
      <c r="H2" s="7">
        <v>372.73475000000002</v>
      </c>
      <c r="I2" s="7">
        <v>-509908.92700000003</v>
      </c>
      <c r="J2" s="7">
        <v>0.1358858</v>
      </c>
      <c r="K2" s="7">
        <v>-185.89461399999999</v>
      </c>
      <c r="L2" s="7">
        <v>24.395</v>
      </c>
      <c r="M2" s="7">
        <v>20.814178099999999</v>
      </c>
      <c r="N2" s="7">
        <v>31.970500000000001</v>
      </c>
      <c r="O2" s="7">
        <v>6.8512500000000003</v>
      </c>
      <c r="P2" s="7">
        <v>7</v>
      </c>
      <c r="Q2" s="7">
        <v>165</v>
      </c>
      <c r="R2" s="7">
        <v>0.125</v>
      </c>
      <c r="S2" s="7">
        <v>6.83425E-3</v>
      </c>
      <c r="T2" s="7">
        <v>2743</v>
      </c>
      <c r="U2" s="6">
        <v>0.75900000000000001</v>
      </c>
      <c r="W2">
        <v>41.751730999999999</v>
      </c>
      <c r="X2">
        <v>-69.955561399999993</v>
      </c>
      <c r="Y2" t="s">
        <v>33</v>
      </c>
      <c r="Z2" s="1" t="s">
        <v>34</v>
      </c>
    </row>
    <row r="3" spans="1:26" x14ac:dyDescent="0.25">
      <c r="A3" t="s">
        <v>28</v>
      </c>
      <c r="B3" s="6" t="s">
        <v>29</v>
      </c>
      <c r="C3" s="6" t="s">
        <v>30</v>
      </c>
      <c r="D3" s="7" t="s">
        <v>31</v>
      </c>
      <c r="E3" s="7" t="s">
        <v>35</v>
      </c>
      <c r="F3" s="13">
        <v>44035</v>
      </c>
      <c r="G3" s="13">
        <v>45867</v>
      </c>
      <c r="H3" s="6">
        <v>77.324999999999804</v>
      </c>
      <c r="I3" s="6">
        <v>-104822.81225</v>
      </c>
      <c r="J3" s="6">
        <v>0.124316720257234</v>
      </c>
      <c r="K3" s="6">
        <v>-168.52542162379399</v>
      </c>
      <c r="L3" s="6">
        <v>7.2827499999999903</v>
      </c>
      <c r="M3" s="6">
        <v>21.5586232203466</v>
      </c>
      <c r="N3" s="6">
        <v>30.608750000000001</v>
      </c>
      <c r="O3" s="6">
        <v>8.7732500000000009</v>
      </c>
      <c r="P3" s="6">
        <v>6</v>
      </c>
      <c r="Q3" s="6">
        <v>40</v>
      </c>
      <c r="R3" s="6">
        <v>0.14479166666666701</v>
      </c>
      <c r="S3" s="6">
        <v>1.19340822921872E-2</v>
      </c>
      <c r="T3" s="6">
        <v>622</v>
      </c>
      <c r="U3" s="6">
        <v>0.93200000000000005</v>
      </c>
      <c r="W3">
        <v>41.751730999999999</v>
      </c>
      <c r="X3">
        <v>-69.955561399999993</v>
      </c>
      <c r="Z3" t="s">
        <v>36</v>
      </c>
    </row>
    <row r="4" spans="1:26" x14ac:dyDescent="0.25">
      <c r="A4" t="s">
        <v>28</v>
      </c>
      <c r="B4" s="6" t="s">
        <v>29</v>
      </c>
      <c r="C4" s="6" t="s">
        <v>30</v>
      </c>
      <c r="D4" s="7" t="s">
        <v>31</v>
      </c>
      <c r="E4" s="7" t="s">
        <v>37</v>
      </c>
      <c r="F4" s="13">
        <v>37789</v>
      </c>
      <c r="G4" s="13">
        <v>45862</v>
      </c>
      <c r="H4" s="6">
        <v>22.509749999999901</v>
      </c>
      <c r="I4" s="6">
        <v>-538669.55883333297</v>
      </c>
      <c r="J4" s="6">
        <v>8.2062522785271205E-3</v>
      </c>
      <c r="K4" s="6">
        <v>-196.379715214485</v>
      </c>
      <c r="L4" s="6">
        <v>2.28649999999999</v>
      </c>
      <c r="M4" s="6">
        <v>20.3615721085832</v>
      </c>
      <c r="N4" s="6">
        <v>30.004000000000001</v>
      </c>
      <c r="O4" s="6">
        <v>7.3680000000000003</v>
      </c>
      <c r="P4" s="6">
        <v>5</v>
      </c>
      <c r="Q4" s="6">
        <v>32</v>
      </c>
      <c r="R4" s="6">
        <v>9.2447916666666699E-2</v>
      </c>
      <c r="S4" s="6">
        <v>1.00287960100883E-2</v>
      </c>
      <c r="T4" s="6">
        <v>2743</v>
      </c>
      <c r="U4" s="8">
        <v>0.10897258999999999</v>
      </c>
      <c r="W4">
        <v>41.751730999999999</v>
      </c>
      <c r="X4">
        <v>-69.955561399999993</v>
      </c>
      <c r="Y4" t="s">
        <v>33</v>
      </c>
      <c r="Z4" t="s">
        <v>34</v>
      </c>
    </row>
    <row r="5" spans="1:26" x14ac:dyDescent="0.25">
      <c r="A5" t="s">
        <v>28</v>
      </c>
      <c r="B5" s="6" t="s">
        <v>29</v>
      </c>
      <c r="C5" s="6" t="s">
        <v>38</v>
      </c>
      <c r="D5" s="7" t="s">
        <v>39</v>
      </c>
      <c r="E5" s="6" t="s">
        <v>32</v>
      </c>
      <c r="F5" s="13">
        <v>37819</v>
      </c>
      <c r="G5" s="13">
        <v>45497</v>
      </c>
      <c r="H5" s="7">
        <v>6.7705000000000002</v>
      </c>
      <c r="I5" s="7">
        <v>-588385.90700000001</v>
      </c>
      <c r="J5" s="7">
        <v>2.6130799999999998E-3</v>
      </c>
      <c r="K5" s="7">
        <v>-227.088347</v>
      </c>
      <c r="L5" s="7">
        <v>3.0640000000000001</v>
      </c>
      <c r="M5" s="7">
        <v>19.084849899999998</v>
      </c>
      <c r="N5" s="7">
        <v>31.664000000000001</v>
      </c>
      <c r="O5" s="7">
        <v>4.9800000000000004</v>
      </c>
      <c r="P5" s="7">
        <v>2</v>
      </c>
      <c r="Q5" s="7">
        <v>9</v>
      </c>
      <c r="R5" s="7">
        <v>6.481481E-2</v>
      </c>
      <c r="S5" s="7">
        <v>1.009004E-2</v>
      </c>
      <c r="T5" s="7">
        <v>2591</v>
      </c>
      <c r="U5" s="6"/>
      <c r="W5">
        <v>41.945903000000001</v>
      </c>
      <c r="X5">
        <v>-70.079549999999998</v>
      </c>
      <c r="Y5" t="s">
        <v>40</v>
      </c>
    </row>
    <row r="6" spans="1:26" x14ac:dyDescent="0.25">
      <c r="A6" t="s">
        <v>28</v>
      </c>
      <c r="B6" s="6" t="s">
        <v>29</v>
      </c>
      <c r="C6" s="6" t="s">
        <v>38</v>
      </c>
      <c r="D6" s="7" t="s">
        <v>39</v>
      </c>
      <c r="E6" s="7" t="s">
        <v>35</v>
      </c>
      <c r="F6" s="13">
        <v>44035</v>
      </c>
      <c r="G6" s="13">
        <v>45497</v>
      </c>
      <c r="H6" s="7">
        <v>1.175</v>
      </c>
      <c r="I6" s="7">
        <v>-99521.078299999994</v>
      </c>
      <c r="J6" s="7">
        <v>2.4633099999999998E-3</v>
      </c>
      <c r="K6" s="7">
        <v>-208.639577</v>
      </c>
      <c r="L6" s="7">
        <v>0.80625000000000002</v>
      </c>
      <c r="M6" s="7">
        <v>19.786961900000001</v>
      </c>
      <c r="N6" s="7">
        <v>29.171250000000001</v>
      </c>
      <c r="O6" s="7">
        <v>6.9587500000000002</v>
      </c>
      <c r="P6" s="7">
        <v>2</v>
      </c>
      <c r="Q6" s="7">
        <v>3</v>
      </c>
      <c r="R6" s="7">
        <v>6.9444439999999996E-2</v>
      </c>
      <c r="S6" s="7">
        <v>1.3888889999999999E-2</v>
      </c>
      <c r="T6" s="7">
        <v>477</v>
      </c>
      <c r="U6" s="6">
        <v>4.4200000000000003E-2</v>
      </c>
      <c r="W6">
        <v>41.945903000000001</v>
      </c>
      <c r="X6">
        <v>-70.079549999999998</v>
      </c>
      <c r="Y6" t="s">
        <v>41</v>
      </c>
      <c r="Z6" t="s">
        <v>36</v>
      </c>
    </row>
    <row r="7" spans="1:26" x14ac:dyDescent="0.25">
      <c r="A7" t="s">
        <v>28</v>
      </c>
      <c r="B7" s="6" t="s">
        <v>29</v>
      </c>
      <c r="C7" s="6" t="s">
        <v>38</v>
      </c>
      <c r="D7" s="7" t="s">
        <v>39</v>
      </c>
      <c r="E7" s="6" t="s">
        <v>37</v>
      </c>
      <c r="F7" s="13">
        <v>37789</v>
      </c>
      <c r="G7" s="13">
        <v>44074</v>
      </c>
      <c r="H7" s="7">
        <v>0</v>
      </c>
      <c r="I7" s="7">
        <v>-482679.5</v>
      </c>
      <c r="J7" s="7">
        <v>0</v>
      </c>
      <c r="K7" s="7">
        <v>-238.59589700000001</v>
      </c>
      <c r="L7" s="7">
        <v>0</v>
      </c>
      <c r="M7" s="7">
        <v>18.506359199999999</v>
      </c>
      <c r="N7" s="7">
        <v>27.640499999999999</v>
      </c>
      <c r="O7" s="7">
        <v>5.04</v>
      </c>
      <c r="P7" s="7">
        <v>0</v>
      </c>
      <c r="Q7" s="7">
        <v>0</v>
      </c>
      <c r="R7" s="7">
        <v>0</v>
      </c>
      <c r="S7" s="7">
        <v>0</v>
      </c>
      <c r="T7" s="7">
        <v>2023</v>
      </c>
      <c r="U7" s="6"/>
      <c r="W7">
        <v>41.945903000000001</v>
      </c>
      <c r="X7">
        <v>-70.079549999999998</v>
      </c>
      <c r="Z7" t="s">
        <v>36</v>
      </c>
    </row>
    <row r="8" spans="1:26" x14ac:dyDescent="0.25">
      <c r="A8" t="s">
        <v>28</v>
      </c>
      <c r="B8" s="6" t="s">
        <v>29</v>
      </c>
      <c r="C8" s="6" t="s">
        <v>42</v>
      </c>
      <c r="D8" s="6" t="s">
        <v>43</v>
      </c>
      <c r="E8" s="6" t="s">
        <v>44</v>
      </c>
      <c r="F8" s="13">
        <v>43283</v>
      </c>
      <c r="G8" s="13">
        <v>45169</v>
      </c>
      <c r="H8" s="6">
        <v>113.27549999999999</v>
      </c>
      <c r="I8" s="6">
        <v>-32403.7663333333</v>
      </c>
      <c r="J8" s="6">
        <v>0.41341423357664098</v>
      </c>
      <c r="K8" s="6">
        <v>-118.261920924574</v>
      </c>
      <c r="L8" s="6">
        <v>17.761500000000002</v>
      </c>
      <c r="M8" s="6">
        <v>23.5587767399699</v>
      </c>
      <c r="N8" s="6">
        <v>31.016749999999998</v>
      </c>
      <c r="O8" s="6">
        <v>10.839</v>
      </c>
      <c r="P8" s="6">
        <v>5</v>
      </c>
      <c r="Q8" s="6">
        <v>30</v>
      </c>
      <c r="R8" s="6">
        <v>0.233333333333333</v>
      </c>
      <c r="S8" s="6">
        <v>2.6246084668168801E-2</v>
      </c>
      <c r="T8" s="6">
        <v>274</v>
      </c>
      <c r="U8" s="6">
        <v>2.6</v>
      </c>
      <c r="W8" s="5">
        <v>42.055636</v>
      </c>
      <c r="X8" s="5">
        <v>70.124091000000007</v>
      </c>
      <c r="Y8" t="s">
        <v>45</v>
      </c>
      <c r="Z8" t="s">
        <v>34</v>
      </c>
    </row>
    <row r="9" spans="1:26" x14ac:dyDescent="0.25">
      <c r="A9" t="s">
        <v>46</v>
      </c>
      <c r="B9" t="s">
        <v>47</v>
      </c>
      <c r="C9" t="s">
        <v>48</v>
      </c>
      <c r="D9" t="s">
        <v>49</v>
      </c>
      <c r="E9" t="s">
        <v>44</v>
      </c>
      <c r="F9" s="2">
        <v>45413</v>
      </c>
      <c r="G9" s="2">
        <v>45514</v>
      </c>
      <c r="H9">
        <v>176.66800000000001</v>
      </c>
      <c r="I9">
        <v>-11920.797500000001</v>
      </c>
      <c r="J9">
        <v>1.7320392156862701</v>
      </c>
      <c r="K9">
        <v>-116.87056372549</v>
      </c>
      <c r="L9">
        <v>23.365500000000001</v>
      </c>
      <c r="M9">
        <v>23.774881017334501</v>
      </c>
      <c r="N9">
        <v>31.077000000000002</v>
      </c>
      <c r="O9">
        <v>12.641999999999999</v>
      </c>
      <c r="P9">
        <v>7</v>
      </c>
      <c r="Q9">
        <v>27</v>
      </c>
      <c r="R9">
        <v>0.35648148148148101</v>
      </c>
      <c r="S9">
        <v>3.8798055634655999E-2</v>
      </c>
      <c r="T9">
        <v>102</v>
      </c>
      <c r="U9">
        <v>9.49</v>
      </c>
      <c r="W9">
        <v>38.284416999999998</v>
      </c>
      <c r="X9">
        <v>-75.126347999999993</v>
      </c>
      <c r="Z9" t="s">
        <v>34</v>
      </c>
    </row>
    <row r="10" spans="1:26" x14ac:dyDescent="0.25">
      <c r="A10" t="s">
        <v>46</v>
      </c>
      <c r="B10" t="s">
        <v>47</v>
      </c>
      <c r="C10" t="s">
        <v>50</v>
      </c>
      <c r="D10" t="s">
        <v>51</v>
      </c>
      <c r="E10" t="s">
        <v>44</v>
      </c>
      <c r="F10" s="2">
        <v>45413</v>
      </c>
      <c r="G10" s="2">
        <v>45514</v>
      </c>
      <c r="H10">
        <v>267.56700000000001</v>
      </c>
      <c r="I10">
        <v>-9081.2009999999991</v>
      </c>
      <c r="J10">
        <v>2.6232058823529401</v>
      </c>
      <c r="K10">
        <v>-89.031382352941193</v>
      </c>
      <c r="L10">
        <v>34.204000000000001</v>
      </c>
      <c r="M10">
        <v>24.975038417916199</v>
      </c>
      <c r="N10">
        <v>31.547999999999998</v>
      </c>
      <c r="O10">
        <v>15.664</v>
      </c>
      <c r="P10">
        <v>8</v>
      </c>
      <c r="Q10">
        <v>26</v>
      </c>
      <c r="R10">
        <v>0.43910256410256399</v>
      </c>
      <c r="S10">
        <v>9.9201695204068699E-2</v>
      </c>
      <c r="T10">
        <v>102</v>
      </c>
      <c r="U10">
        <v>11.2</v>
      </c>
      <c r="W10">
        <v>37.988320000000002</v>
      </c>
      <c r="X10">
        <v>-75.336609999999993</v>
      </c>
      <c r="Z10" t="s">
        <v>34</v>
      </c>
    </row>
    <row r="11" spans="1:26" x14ac:dyDescent="0.25">
      <c r="A11" t="s">
        <v>46</v>
      </c>
      <c r="B11" t="s">
        <v>47</v>
      </c>
      <c r="C11" t="s">
        <v>52</v>
      </c>
      <c r="D11" t="s">
        <v>53</v>
      </c>
      <c r="E11" t="s">
        <v>32</v>
      </c>
      <c r="F11" s="2">
        <v>39974</v>
      </c>
      <c r="G11" s="2">
        <v>45813</v>
      </c>
      <c r="H11" s="1">
        <v>14294.3225</v>
      </c>
      <c r="I11" s="1">
        <v>-156222.53700000001</v>
      </c>
      <c r="J11" s="1">
        <v>7.8367996160000004</v>
      </c>
      <c r="K11" s="1">
        <v>-85.648320699999999</v>
      </c>
      <c r="L11" s="1">
        <v>95.444000000000003</v>
      </c>
      <c r="M11" s="1">
        <v>25.3221737</v>
      </c>
      <c r="N11" s="1">
        <v>36.011499999999998</v>
      </c>
      <c r="O11" s="1">
        <v>9.9275000000000002</v>
      </c>
      <c r="P11" s="1">
        <v>51</v>
      </c>
      <c r="Q11" s="1">
        <v>748</v>
      </c>
      <c r="R11" s="1">
        <v>0.53370097999999999</v>
      </c>
      <c r="S11" s="1">
        <v>2.4642839999999999E-2</v>
      </c>
      <c r="T11" s="1">
        <v>1824</v>
      </c>
      <c r="U11">
        <v>22</v>
      </c>
      <c r="W11">
        <v>38.187486</v>
      </c>
      <c r="X11">
        <v>-75.182463999999996</v>
      </c>
      <c r="Z11" t="s">
        <v>34</v>
      </c>
    </row>
    <row r="12" spans="1:26" x14ac:dyDescent="0.25">
      <c r="A12" t="s">
        <v>46</v>
      </c>
      <c r="B12" t="s">
        <v>47</v>
      </c>
      <c r="C12" t="s">
        <v>52</v>
      </c>
      <c r="D12" t="s">
        <v>53</v>
      </c>
      <c r="E12" t="s">
        <v>35</v>
      </c>
      <c r="F12" s="2">
        <v>44317</v>
      </c>
      <c r="G12" s="2">
        <v>45813</v>
      </c>
      <c r="H12">
        <v>2578.0814999999998</v>
      </c>
      <c r="I12">
        <v>-51408.116999999998</v>
      </c>
      <c r="J12">
        <v>4.8827301136363603</v>
      </c>
      <c r="K12">
        <v>-97.363857954545495</v>
      </c>
      <c r="L12">
        <v>52.191000000000003</v>
      </c>
      <c r="M12">
        <v>24.727384065988801</v>
      </c>
      <c r="N12">
        <v>33.469000000000001</v>
      </c>
      <c r="O12">
        <v>8.2949999999999999</v>
      </c>
      <c r="P12">
        <v>32</v>
      </c>
      <c r="Q12">
        <v>169</v>
      </c>
      <c r="R12">
        <v>0.54142011834319503</v>
      </c>
      <c r="S12">
        <v>4.9072038850700203E-2</v>
      </c>
      <c r="T12">
        <v>528</v>
      </c>
      <c r="U12">
        <v>17.3</v>
      </c>
      <c r="W12">
        <v>38.187486</v>
      </c>
      <c r="X12">
        <v>-75.182463999999996</v>
      </c>
      <c r="Z12" t="s">
        <v>34</v>
      </c>
    </row>
    <row r="13" spans="1:26" x14ac:dyDescent="0.25">
      <c r="A13" t="s">
        <v>46</v>
      </c>
      <c r="B13" t="s">
        <v>47</v>
      </c>
      <c r="C13" t="s">
        <v>52</v>
      </c>
      <c r="D13" t="s">
        <v>53</v>
      </c>
      <c r="E13" t="s">
        <v>37</v>
      </c>
      <c r="F13" s="2">
        <v>39974</v>
      </c>
      <c r="G13" s="2">
        <v>45813</v>
      </c>
      <c r="H13">
        <v>9700.8134999999893</v>
      </c>
      <c r="I13">
        <v>-173457.5515</v>
      </c>
      <c r="J13">
        <v>5.1056913157894703</v>
      </c>
      <c r="K13">
        <v>-91.293448157894801</v>
      </c>
      <c r="L13">
        <v>88.210999999999999</v>
      </c>
      <c r="M13">
        <v>24.990983315651299</v>
      </c>
      <c r="N13">
        <v>33.822000000000003</v>
      </c>
      <c r="O13">
        <v>8.7919999999999998</v>
      </c>
      <c r="P13">
        <v>39</v>
      </c>
      <c r="Q13">
        <v>520</v>
      </c>
      <c r="R13">
        <v>0.65641025641025597</v>
      </c>
      <c r="S13">
        <v>4.1127953364574803E-2</v>
      </c>
      <c r="T13">
        <v>1900</v>
      </c>
      <c r="U13">
        <v>18</v>
      </c>
      <c r="W13">
        <v>38.187486</v>
      </c>
      <c r="X13">
        <v>-75.182463999999996</v>
      </c>
      <c r="Z13" t="s">
        <v>34</v>
      </c>
    </row>
    <row r="14" spans="1:26" x14ac:dyDescent="0.25">
      <c r="A14" t="s">
        <v>54</v>
      </c>
      <c r="B14" t="s">
        <v>55</v>
      </c>
      <c r="C14" t="s">
        <v>56</v>
      </c>
      <c r="D14" t="s">
        <v>57</v>
      </c>
      <c r="E14" t="s">
        <v>32</v>
      </c>
      <c r="F14" s="2">
        <v>44418</v>
      </c>
      <c r="G14" s="2">
        <v>45876</v>
      </c>
      <c r="H14">
        <v>74.260833333333196</v>
      </c>
      <c r="I14">
        <v>-59285.568083333303</v>
      </c>
      <c r="J14">
        <v>0.226404979674796</v>
      </c>
      <c r="K14">
        <v>-180.74868318089401</v>
      </c>
      <c r="L14">
        <v>8.9572499999999895</v>
      </c>
      <c r="M14">
        <v>21.0317791733296</v>
      </c>
      <c r="N14">
        <v>30.74775</v>
      </c>
      <c r="O14">
        <v>8.6679999999999993</v>
      </c>
      <c r="P14">
        <v>4</v>
      </c>
      <c r="Q14">
        <v>22</v>
      </c>
      <c r="R14">
        <v>0.189393939393939</v>
      </c>
      <c r="S14">
        <v>1.95255612041869E-2</v>
      </c>
      <c r="T14">
        <v>328</v>
      </c>
      <c r="U14">
        <v>1.28</v>
      </c>
      <c r="W14">
        <v>40.766392000000003</v>
      </c>
      <c r="X14">
        <v>-72.788008000000005</v>
      </c>
      <c r="Y14" t="s">
        <v>58</v>
      </c>
      <c r="Z14" t="s">
        <v>34</v>
      </c>
    </row>
    <row r="15" spans="1:26" x14ac:dyDescent="0.25">
      <c r="A15" t="s">
        <v>54</v>
      </c>
      <c r="B15" t="s">
        <v>55</v>
      </c>
      <c r="C15" t="s">
        <v>56</v>
      </c>
      <c r="D15" t="s">
        <v>57</v>
      </c>
      <c r="E15" t="s">
        <v>35</v>
      </c>
      <c r="F15" s="2">
        <v>44418</v>
      </c>
      <c r="G15" s="2">
        <v>45876</v>
      </c>
      <c r="H15">
        <v>91.188416666666399</v>
      </c>
      <c r="I15">
        <v>-84466.342499999999</v>
      </c>
      <c r="J15">
        <v>0.186098809523809</v>
      </c>
      <c r="K15">
        <v>-172.380290816327</v>
      </c>
      <c r="L15">
        <v>7.4289999999999896</v>
      </c>
      <c r="M15">
        <v>21.396931014440899</v>
      </c>
      <c r="N15">
        <v>30.589500000000001</v>
      </c>
      <c r="O15">
        <v>8.6929999999999996</v>
      </c>
      <c r="P15">
        <v>5</v>
      </c>
      <c r="Q15">
        <v>46</v>
      </c>
      <c r="R15">
        <v>0.14673913043478301</v>
      </c>
      <c r="S15">
        <v>1.07379307876305E-2</v>
      </c>
      <c r="T15">
        <v>490</v>
      </c>
      <c r="U15">
        <v>1.38</v>
      </c>
      <c r="W15">
        <v>40.766392000000003</v>
      </c>
      <c r="X15">
        <v>-72.788008000000005</v>
      </c>
      <c r="Y15" t="s">
        <v>59</v>
      </c>
      <c r="Z15" t="s">
        <v>34</v>
      </c>
    </row>
    <row r="16" spans="1:26" ht="12.75" customHeight="1" x14ac:dyDescent="0.25">
      <c r="A16" t="s">
        <v>54</v>
      </c>
      <c r="B16" t="s">
        <v>55</v>
      </c>
      <c r="C16" t="s">
        <v>56</v>
      </c>
      <c r="D16" t="s">
        <v>57</v>
      </c>
      <c r="E16" t="s">
        <v>37</v>
      </c>
      <c r="F16" s="2">
        <v>44418</v>
      </c>
      <c r="G16" s="2">
        <v>45876</v>
      </c>
      <c r="H16">
        <v>11.984499999999899</v>
      </c>
      <c r="I16">
        <v>-64201.219499999999</v>
      </c>
      <c r="J16">
        <v>3.3664325842696498E-2</v>
      </c>
      <c r="K16">
        <v>-180.340504213483</v>
      </c>
      <c r="L16">
        <v>3.09574999999999</v>
      </c>
      <c r="M16">
        <v>21.043066598392599</v>
      </c>
      <c r="N16">
        <v>29.696249999999999</v>
      </c>
      <c r="O16">
        <v>8.6617499999999996</v>
      </c>
      <c r="P16">
        <v>3</v>
      </c>
      <c r="Q16">
        <v>14</v>
      </c>
      <c r="R16">
        <v>0.107142857142857</v>
      </c>
      <c r="S16">
        <v>1.4297156589739899E-2</v>
      </c>
      <c r="T16">
        <v>356</v>
      </c>
      <c r="U16">
        <v>0.42299999999999999</v>
      </c>
      <c r="W16">
        <v>40.766392000000003</v>
      </c>
      <c r="X16">
        <v>-72.788008000000005</v>
      </c>
      <c r="Y16" t="s">
        <v>60</v>
      </c>
      <c r="Z16" t="s">
        <v>34</v>
      </c>
    </row>
    <row r="17" spans="1:26" x14ac:dyDescent="0.25">
      <c r="A17" t="s">
        <v>54</v>
      </c>
      <c r="B17" t="s">
        <v>55</v>
      </c>
      <c r="C17" t="s">
        <v>61</v>
      </c>
      <c r="D17" t="s">
        <v>62</v>
      </c>
      <c r="E17" t="s">
        <v>32</v>
      </c>
      <c r="F17" s="2">
        <v>40325</v>
      </c>
      <c r="G17" s="2">
        <v>45876</v>
      </c>
      <c r="H17">
        <v>2038.2774916666599</v>
      </c>
      <c r="I17">
        <v>-123433.177433889</v>
      </c>
      <c r="J17">
        <v>1.98083332523485</v>
      </c>
      <c r="K17">
        <v>-119.9544970203</v>
      </c>
      <c r="L17">
        <v>42.909749999999903</v>
      </c>
      <c r="M17">
        <v>23.644903254970199</v>
      </c>
      <c r="N17">
        <v>32.59375</v>
      </c>
      <c r="O17">
        <v>7.5564999999999998</v>
      </c>
      <c r="P17">
        <v>17</v>
      </c>
      <c r="Q17">
        <v>230</v>
      </c>
      <c r="R17">
        <v>0.385507246376812</v>
      </c>
      <c r="S17">
        <v>2.2490330455853001E-2</v>
      </c>
      <c r="T17">
        <v>1029</v>
      </c>
      <c r="U17">
        <v>8.67</v>
      </c>
      <c r="W17">
        <v>40.719644000000002</v>
      </c>
      <c r="X17">
        <v>-72.938221999999996</v>
      </c>
      <c r="Z17" t="s">
        <v>34</v>
      </c>
    </row>
    <row r="18" spans="1:26" x14ac:dyDescent="0.25">
      <c r="A18" t="s">
        <v>54</v>
      </c>
      <c r="B18" t="s">
        <v>55</v>
      </c>
      <c r="C18" t="s">
        <v>61</v>
      </c>
      <c r="D18" t="s">
        <v>62</v>
      </c>
      <c r="E18" t="s">
        <v>35</v>
      </c>
      <c r="F18" s="2">
        <v>40325</v>
      </c>
      <c r="G18" s="2">
        <v>45876</v>
      </c>
      <c r="H18">
        <v>1012.111</v>
      </c>
      <c r="I18">
        <v>-80877.076074561395</v>
      </c>
      <c r="J18">
        <v>1.5989115323854599</v>
      </c>
      <c r="K18">
        <v>-127.76789269283</v>
      </c>
      <c r="L18">
        <v>38.554000000000002</v>
      </c>
      <c r="M18">
        <v>23.300557381005099</v>
      </c>
      <c r="N18">
        <v>32.104750000000003</v>
      </c>
      <c r="O18">
        <v>7.2677500000000004</v>
      </c>
      <c r="P18">
        <v>18</v>
      </c>
      <c r="Q18">
        <v>115</v>
      </c>
      <c r="R18">
        <v>0.40434782608695702</v>
      </c>
      <c r="S18">
        <v>3.1832695321315198E-2</v>
      </c>
      <c r="T18">
        <v>633</v>
      </c>
      <c r="U18">
        <v>7.37</v>
      </c>
      <c r="W18">
        <v>40.719644000000002</v>
      </c>
      <c r="X18">
        <v>-72.938221999999996</v>
      </c>
      <c r="Z18" t="s">
        <v>34</v>
      </c>
    </row>
    <row r="19" spans="1:26" ht="16.149999999999999" customHeight="1" x14ac:dyDescent="0.25">
      <c r="A19" t="s">
        <v>54</v>
      </c>
      <c r="B19" t="s">
        <v>55</v>
      </c>
      <c r="C19" t="s">
        <v>61</v>
      </c>
      <c r="D19" t="s">
        <v>62</v>
      </c>
      <c r="E19" t="s">
        <v>37</v>
      </c>
      <c r="F19" s="2">
        <v>40325</v>
      </c>
      <c r="G19" s="2">
        <v>45876</v>
      </c>
      <c r="H19">
        <v>635.29449999999895</v>
      </c>
      <c r="I19">
        <v>-112590.47595476201</v>
      </c>
      <c r="J19">
        <v>0.69204193899781996</v>
      </c>
      <c r="K19">
        <v>-122.647577292769</v>
      </c>
      <c r="L19">
        <v>26.571750000000002</v>
      </c>
      <c r="M19">
        <v>23.464596623061301</v>
      </c>
      <c r="N19">
        <v>31.567250000000001</v>
      </c>
      <c r="O19">
        <v>8.2575000000000003</v>
      </c>
      <c r="P19">
        <v>11</v>
      </c>
      <c r="Q19">
        <v>104</v>
      </c>
      <c r="R19">
        <v>0.36979166666666702</v>
      </c>
      <c r="S19">
        <v>2.78083519685416E-2</v>
      </c>
      <c r="T19">
        <v>918</v>
      </c>
      <c r="U19">
        <v>4.2300000000000004</v>
      </c>
      <c r="W19">
        <v>40.719644000000002</v>
      </c>
      <c r="X19">
        <v>-72.938221999999996</v>
      </c>
      <c r="Z19" t="s">
        <v>34</v>
      </c>
    </row>
    <row r="20" spans="1:26" s="6" customFormat="1" x14ac:dyDescent="0.25">
      <c r="A20" s="6" t="s">
        <v>63</v>
      </c>
      <c r="B20" s="6" t="s">
        <v>44</v>
      </c>
      <c r="C20" s="6" t="s">
        <v>64</v>
      </c>
      <c r="D20" s="7" t="s">
        <v>65</v>
      </c>
      <c r="F20" s="13">
        <v>45778</v>
      </c>
      <c r="G20" s="13">
        <v>45900</v>
      </c>
      <c r="H20" s="7">
        <v>0</v>
      </c>
      <c r="I20" s="7">
        <v>-24959.869500000001</v>
      </c>
      <c r="J20" s="7">
        <v>0</v>
      </c>
      <c r="K20" s="7">
        <v>-202.92576800000001</v>
      </c>
      <c r="L20" s="7">
        <v>0</v>
      </c>
      <c r="M20" s="7">
        <v>20.123465700000001</v>
      </c>
      <c r="N20" s="7">
        <v>26.664999999999999</v>
      </c>
      <c r="O20" s="7">
        <v>10.8995</v>
      </c>
      <c r="P20" s="7">
        <v>0</v>
      </c>
      <c r="Q20" s="7">
        <v>0</v>
      </c>
      <c r="R20" s="7">
        <v>0</v>
      </c>
      <c r="S20" s="7">
        <v>0</v>
      </c>
      <c r="T20" s="7">
        <v>123</v>
      </c>
      <c r="U20" s="7">
        <v>0</v>
      </c>
      <c r="W20" s="16">
        <v>41.329855000000002</v>
      </c>
      <c r="X20" s="17">
        <v>-71.988226999999995</v>
      </c>
      <c r="Z20" s="7" t="s">
        <v>36</v>
      </c>
    </row>
    <row r="21" spans="1:26" s="6" customFormat="1" x14ac:dyDescent="0.25">
      <c r="A21" s="6" t="s">
        <v>28</v>
      </c>
      <c r="B21" s="6" t="s">
        <v>44</v>
      </c>
      <c r="C21" s="6" t="s">
        <v>66</v>
      </c>
      <c r="D21" s="7" t="s">
        <v>67</v>
      </c>
      <c r="F21" s="13">
        <v>45517</v>
      </c>
      <c r="G21" s="13">
        <v>45880</v>
      </c>
      <c r="H21" s="7">
        <v>0</v>
      </c>
      <c r="I21" s="7">
        <v>-24933.267500000002</v>
      </c>
      <c r="J21" s="7">
        <v>0</v>
      </c>
      <c r="K21" s="7">
        <v>-204.37104500000001</v>
      </c>
      <c r="L21" s="7">
        <v>0</v>
      </c>
      <c r="M21" s="7">
        <v>20.015521400000001</v>
      </c>
      <c r="N21" s="7">
        <v>27.1585</v>
      </c>
      <c r="O21" s="7">
        <v>11.2965</v>
      </c>
      <c r="P21" s="7">
        <v>0</v>
      </c>
      <c r="Q21" s="7">
        <v>0</v>
      </c>
      <c r="R21" s="7">
        <v>0</v>
      </c>
      <c r="S21" s="7">
        <v>0</v>
      </c>
      <c r="T21" s="7">
        <v>122</v>
      </c>
      <c r="U21" s="6">
        <v>0</v>
      </c>
      <c r="W21" s="17">
        <v>41.29</v>
      </c>
      <c r="X21" s="16">
        <v>-70.200277779999993</v>
      </c>
      <c r="Z21" s="7" t="s">
        <v>36</v>
      </c>
    </row>
    <row r="22" spans="1:26" x14ac:dyDescent="0.25">
      <c r="A22" t="s">
        <v>28</v>
      </c>
      <c r="B22" t="s">
        <v>44</v>
      </c>
      <c r="C22" t="s">
        <v>68</v>
      </c>
      <c r="D22" s="1" t="s">
        <v>69</v>
      </c>
      <c r="F22" s="2">
        <v>45503</v>
      </c>
      <c r="G22" s="2">
        <v>45900</v>
      </c>
      <c r="H22" s="1">
        <v>0.39774999999999999</v>
      </c>
      <c r="I22" s="1">
        <v>-22391.197899999999</v>
      </c>
      <c r="J22" s="1">
        <v>2.7814699999999999E-3</v>
      </c>
      <c r="K22" s="1">
        <v>-156.58180400000001</v>
      </c>
      <c r="L22" s="1">
        <v>0.15875</v>
      </c>
      <c r="M22" s="1">
        <v>21.9571869</v>
      </c>
      <c r="N22" s="1">
        <v>28.728999999999999</v>
      </c>
      <c r="O22" s="1">
        <v>11.843249999999999</v>
      </c>
      <c r="P22" s="1">
        <v>4</v>
      </c>
      <c r="Q22" s="1">
        <v>4</v>
      </c>
      <c r="R22" s="1">
        <v>5.2083329999999997E-2</v>
      </c>
      <c r="S22" s="1">
        <v>1.0416669999999999E-2</v>
      </c>
      <c r="T22" s="1">
        <v>143</v>
      </c>
      <c r="U22">
        <v>0.14799999999999999</v>
      </c>
      <c r="W22" s="17">
        <v>41.3391667</v>
      </c>
      <c r="X22" s="17">
        <v>-70.232222219999997</v>
      </c>
      <c r="Z22" s="1" t="s">
        <v>36</v>
      </c>
    </row>
    <row r="23" spans="1:26" x14ac:dyDescent="0.25">
      <c r="A23" t="s">
        <v>28</v>
      </c>
      <c r="B23" t="s">
        <v>44</v>
      </c>
      <c r="C23" t="s">
        <v>71</v>
      </c>
      <c r="D23" s="1" t="s">
        <v>72</v>
      </c>
      <c r="F23" s="2">
        <v>45778</v>
      </c>
      <c r="G23" s="2">
        <v>45900</v>
      </c>
      <c r="H23" s="1">
        <v>0</v>
      </c>
      <c r="I23" s="1">
        <v>-26763.371500000001</v>
      </c>
      <c r="J23" s="1">
        <v>0</v>
      </c>
      <c r="K23" s="1">
        <v>-217.58838600000001</v>
      </c>
      <c r="L23" s="1">
        <v>0</v>
      </c>
      <c r="M23" s="1">
        <v>19.511695899999999</v>
      </c>
      <c r="N23" s="1">
        <v>24.870999999999999</v>
      </c>
      <c r="O23" s="1">
        <v>11.589</v>
      </c>
      <c r="P23" s="1">
        <v>0</v>
      </c>
      <c r="Q23" s="1">
        <v>0</v>
      </c>
      <c r="R23" s="1">
        <v>0</v>
      </c>
      <c r="S23" s="1">
        <v>0</v>
      </c>
      <c r="T23" s="1">
        <v>123</v>
      </c>
      <c r="U23">
        <v>0</v>
      </c>
      <c r="W23" s="17">
        <v>41.58399</v>
      </c>
      <c r="X23" s="16">
        <v>-70.820909999999998</v>
      </c>
      <c r="Z23" s="1" t="s">
        <v>36</v>
      </c>
    </row>
    <row r="24" spans="1:26" x14ac:dyDescent="0.25">
      <c r="A24" t="s">
        <v>28</v>
      </c>
      <c r="B24" t="s">
        <v>44</v>
      </c>
      <c r="C24" t="s">
        <v>74</v>
      </c>
      <c r="D24" s="1" t="s">
        <v>75</v>
      </c>
      <c r="F24" s="2">
        <v>45524</v>
      </c>
      <c r="G24" s="2">
        <v>45900</v>
      </c>
      <c r="H24" s="1">
        <v>0</v>
      </c>
      <c r="I24" s="1">
        <v>-42828.415500000003</v>
      </c>
      <c r="J24" s="1">
        <v>0</v>
      </c>
      <c r="K24" s="1">
        <v>-317.247522</v>
      </c>
      <c r="L24" s="1">
        <v>0</v>
      </c>
      <c r="M24" s="1">
        <v>15.3294552</v>
      </c>
      <c r="N24" s="1">
        <v>21.919499999999999</v>
      </c>
      <c r="O24" s="1">
        <v>8.0465</v>
      </c>
      <c r="P24" s="1">
        <v>0</v>
      </c>
      <c r="Q24" s="1">
        <v>0</v>
      </c>
      <c r="R24" s="1">
        <v>0</v>
      </c>
      <c r="S24" s="1">
        <v>0</v>
      </c>
      <c r="T24" s="1">
        <v>135</v>
      </c>
      <c r="U24">
        <v>0</v>
      </c>
      <c r="W24" s="17">
        <v>42.379206000000003</v>
      </c>
      <c r="X24" s="16">
        <v>-70.969185999999993</v>
      </c>
      <c r="Z24" s="1" t="s">
        <v>36</v>
      </c>
    </row>
    <row r="25" spans="1:26" x14ac:dyDescent="0.25">
      <c r="A25" t="s">
        <v>76</v>
      </c>
      <c r="B25" t="s">
        <v>44</v>
      </c>
      <c r="C25" t="s">
        <v>77</v>
      </c>
      <c r="D25" s="1" t="s">
        <v>78</v>
      </c>
      <c r="F25" s="2">
        <v>45778</v>
      </c>
      <c r="G25" s="2">
        <v>45889</v>
      </c>
      <c r="H25" s="1">
        <v>0</v>
      </c>
      <c r="I25" s="1">
        <v>-40242.223599999998</v>
      </c>
      <c r="J25" s="1">
        <v>0</v>
      </c>
      <c r="K25" s="1">
        <v>-359.30556799999999</v>
      </c>
      <c r="L25" s="1">
        <v>0</v>
      </c>
      <c r="M25" s="1">
        <v>13.576828799999999</v>
      </c>
      <c r="N25" s="1">
        <v>20.006944399999998</v>
      </c>
      <c r="O25" s="1">
        <v>5.9238888899999997</v>
      </c>
      <c r="P25" s="1">
        <v>0</v>
      </c>
      <c r="Q25" s="1">
        <v>0</v>
      </c>
      <c r="R25" s="1">
        <v>0</v>
      </c>
      <c r="S25" s="1">
        <v>0</v>
      </c>
      <c r="T25" s="1">
        <v>112</v>
      </c>
      <c r="U25">
        <v>0</v>
      </c>
      <c r="W25" s="17">
        <v>43.562739999999998</v>
      </c>
      <c r="X25" s="17">
        <v>-70.221149999999994</v>
      </c>
      <c r="Z25" s="1" t="s">
        <v>36</v>
      </c>
    </row>
    <row r="26" spans="1:26" x14ac:dyDescent="0.25">
      <c r="A26" t="s">
        <v>76</v>
      </c>
      <c r="B26" t="s">
        <v>44</v>
      </c>
      <c r="C26" t="s">
        <v>79</v>
      </c>
      <c r="D26" s="1" t="s">
        <v>80</v>
      </c>
      <c r="F26" s="2">
        <v>45533</v>
      </c>
      <c r="G26" s="2">
        <v>45900</v>
      </c>
      <c r="H26" s="1">
        <v>0</v>
      </c>
      <c r="I26" s="1">
        <v>-40716.140500000001</v>
      </c>
      <c r="J26" s="1">
        <v>0</v>
      </c>
      <c r="K26" s="1">
        <v>-323.14397200000002</v>
      </c>
      <c r="L26" s="1">
        <v>0</v>
      </c>
      <c r="M26" s="1">
        <v>15.058923399999999</v>
      </c>
      <c r="N26" s="1">
        <v>22.3215</v>
      </c>
      <c r="O26" s="1">
        <v>7.9980000000000002</v>
      </c>
      <c r="P26" s="1">
        <v>0</v>
      </c>
      <c r="Q26" s="1">
        <v>0</v>
      </c>
      <c r="R26" s="1">
        <v>0</v>
      </c>
      <c r="S26" s="1">
        <v>0</v>
      </c>
      <c r="T26" s="1">
        <v>126</v>
      </c>
      <c r="U26">
        <v>0</v>
      </c>
      <c r="W26" s="17">
        <v>43.753680000000003</v>
      </c>
      <c r="X26" s="17">
        <v>-70.136380000000003</v>
      </c>
      <c r="Z26" s="1" t="s">
        <v>36</v>
      </c>
    </row>
    <row r="27" spans="1:26" x14ac:dyDescent="0.25">
      <c r="A27" t="s">
        <v>76</v>
      </c>
      <c r="B27" t="s">
        <v>44</v>
      </c>
      <c r="C27" t="s">
        <v>81</v>
      </c>
      <c r="D27" s="1" t="s">
        <v>82</v>
      </c>
      <c r="F27" s="2">
        <v>45778</v>
      </c>
      <c r="G27" s="2">
        <v>45900</v>
      </c>
      <c r="H27" s="1">
        <v>0</v>
      </c>
      <c r="I27" s="1">
        <v>-41688.897499999999</v>
      </c>
      <c r="J27" s="1">
        <v>0</v>
      </c>
      <c r="K27" s="1">
        <v>-338.93412599999999</v>
      </c>
      <c r="L27" s="1">
        <v>0</v>
      </c>
      <c r="M27" s="1">
        <v>14.4500023</v>
      </c>
      <c r="N27" s="1">
        <v>20.424166700000001</v>
      </c>
      <c r="O27" s="1">
        <v>6.7877777799999999</v>
      </c>
      <c r="P27" s="1">
        <v>0</v>
      </c>
      <c r="Q27" s="1">
        <v>0</v>
      </c>
      <c r="R27" s="1">
        <v>0</v>
      </c>
      <c r="S27" s="1">
        <v>0</v>
      </c>
      <c r="T27" s="1">
        <v>123</v>
      </c>
      <c r="U27">
        <v>0</v>
      </c>
      <c r="W27" s="17">
        <v>43.967865000000003</v>
      </c>
      <c r="X27" s="17">
        <v>-69.362097000000006</v>
      </c>
      <c r="Z27" s="1" t="s">
        <v>36</v>
      </c>
    </row>
    <row r="28" spans="1:26" x14ac:dyDescent="0.25">
      <c r="A28" t="s">
        <v>76</v>
      </c>
      <c r="B28" t="s">
        <v>44</v>
      </c>
      <c r="C28" t="s">
        <v>83</v>
      </c>
      <c r="D28" s="1" t="s">
        <v>84</v>
      </c>
      <c r="F28" s="2">
        <v>45533</v>
      </c>
      <c r="G28" s="2">
        <v>45900</v>
      </c>
      <c r="H28" s="1">
        <v>0</v>
      </c>
      <c r="I28" s="1">
        <v>-42193.853000000003</v>
      </c>
      <c r="J28" s="1">
        <v>0</v>
      </c>
      <c r="K28" s="1">
        <v>-334.871849</v>
      </c>
      <c r="L28" s="1">
        <v>0</v>
      </c>
      <c r="M28" s="1">
        <v>14.5508434</v>
      </c>
      <c r="N28" s="1">
        <v>20.213999999999999</v>
      </c>
      <c r="O28" s="1">
        <v>7.6924999999999999</v>
      </c>
      <c r="P28" s="1">
        <v>0</v>
      </c>
      <c r="Q28" s="1">
        <v>0</v>
      </c>
      <c r="R28" s="1">
        <v>0</v>
      </c>
      <c r="S28" s="1">
        <v>0</v>
      </c>
      <c r="T28" s="1">
        <v>126</v>
      </c>
      <c r="U28">
        <v>0</v>
      </c>
      <c r="W28" s="17">
        <v>43.692340000000002</v>
      </c>
      <c r="X28" s="17">
        <v>-70.227999999999994</v>
      </c>
      <c r="Z28" s="1" t="s">
        <v>36</v>
      </c>
    </row>
    <row r="29" spans="1:26" x14ac:dyDescent="0.25">
      <c r="A29" t="s">
        <v>76</v>
      </c>
      <c r="B29" t="s">
        <v>44</v>
      </c>
      <c r="C29" t="s">
        <v>86</v>
      </c>
      <c r="D29" s="1" t="s">
        <v>87</v>
      </c>
      <c r="F29" s="2">
        <v>45778</v>
      </c>
      <c r="G29" s="2">
        <v>45900</v>
      </c>
      <c r="H29" s="1">
        <v>0</v>
      </c>
      <c r="I29" s="1">
        <v>-46997.5867</v>
      </c>
      <c r="J29" s="1">
        <v>0</v>
      </c>
      <c r="K29" s="1">
        <v>-382.094201</v>
      </c>
      <c r="L29" s="1">
        <v>0</v>
      </c>
      <c r="M29" s="1">
        <v>12.648357000000001</v>
      </c>
      <c r="N29" s="1">
        <v>20.197500000000002</v>
      </c>
      <c r="O29" s="1">
        <v>5.1019444399999996</v>
      </c>
      <c r="P29" s="1">
        <v>0</v>
      </c>
      <c r="Q29" s="1">
        <v>0</v>
      </c>
      <c r="R29" s="1">
        <v>0</v>
      </c>
      <c r="S29" s="1">
        <v>0</v>
      </c>
      <c r="T29" s="1">
        <v>123</v>
      </c>
      <c r="U29">
        <v>0</v>
      </c>
      <c r="W29" s="17">
        <v>44.389530000000001</v>
      </c>
      <c r="X29" s="17">
        <v>-68.092759999999998</v>
      </c>
      <c r="Z29" s="1" t="s">
        <v>36</v>
      </c>
    </row>
    <row r="30" spans="1:26" x14ac:dyDescent="0.25">
      <c r="A30" t="s">
        <v>54</v>
      </c>
      <c r="B30" t="s">
        <v>44</v>
      </c>
      <c r="C30" t="s">
        <v>88</v>
      </c>
      <c r="D30" s="1" t="s">
        <v>89</v>
      </c>
      <c r="F30" s="2">
        <v>45778</v>
      </c>
      <c r="G30" s="2">
        <v>45900</v>
      </c>
      <c r="H30" s="1">
        <v>0</v>
      </c>
      <c r="I30" s="1">
        <v>-32364.350999999999</v>
      </c>
      <c r="J30" s="1">
        <v>0</v>
      </c>
      <c r="K30" s="1">
        <v>-263.12480499999998</v>
      </c>
      <c r="L30" s="1">
        <v>0</v>
      </c>
      <c r="M30" s="1">
        <v>17.611288299999998</v>
      </c>
      <c r="N30" s="1">
        <v>23.935500000000001</v>
      </c>
      <c r="O30" s="1">
        <v>8.9794999999999998</v>
      </c>
      <c r="P30" s="1">
        <v>0</v>
      </c>
      <c r="Q30" s="1">
        <v>0</v>
      </c>
      <c r="R30" s="1">
        <v>0</v>
      </c>
      <c r="S30" s="1">
        <v>0</v>
      </c>
      <c r="T30" s="1">
        <v>123</v>
      </c>
      <c r="U30">
        <v>0</v>
      </c>
      <c r="W30" s="17">
        <v>41.278083330000001</v>
      </c>
      <c r="X30" s="16">
        <v>-71.948611110000002</v>
      </c>
      <c r="Z30" s="1" t="s">
        <v>36</v>
      </c>
    </row>
    <row r="31" spans="1:26" x14ac:dyDescent="0.25">
      <c r="A31" t="s">
        <v>90</v>
      </c>
      <c r="B31" t="s">
        <v>44</v>
      </c>
      <c r="C31" t="s">
        <v>91</v>
      </c>
      <c r="D31" s="1" t="s">
        <v>92</v>
      </c>
      <c r="F31" s="2">
        <v>45778</v>
      </c>
      <c r="G31" s="2">
        <v>45900</v>
      </c>
      <c r="H31" s="1">
        <v>0</v>
      </c>
      <c r="I31" s="1">
        <v>-34532.313999999998</v>
      </c>
      <c r="J31" s="1">
        <v>0</v>
      </c>
      <c r="K31" s="1">
        <v>-280.75051999999999</v>
      </c>
      <c r="L31" s="1">
        <v>0</v>
      </c>
      <c r="M31" s="1">
        <v>16.875325499999999</v>
      </c>
      <c r="N31" s="1">
        <v>21.7425</v>
      </c>
      <c r="O31" s="1">
        <v>7.4509999999999996</v>
      </c>
      <c r="P31" s="1">
        <v>0</v>
      </c>
      <c r="Q31" s="1">
        <v>0</v>
      </c>
      <c r="R31" s="1">
        <v>0</v>
      </c>
      <c r="S31" s="1">
        <v>0</v>
      </c>
      <c r="T31" s="1">
        <v>123</v>
      </c>
      <c r="U31">
        <v>0</v>
      </c>
      <c r="W31" s="17">
        <v>41.478687000000001</v>
      </c>
      <c r="X31" s="16">
        <v>-71.359367000000006</v>
      </c>
      <c r="Z31" s="1" t="s">
        <v>36</v>
      </c>
    </row>
    <row r="32" spans="1:26" s="6" customFormat="1" x14ac:dyDescent="0.25">
      <c r="A32" s="6" t="s">
        <v>90</v>
      </c>
      <c r="B32" s="6" t="s">
        <v>44</v>
      </c>
      <c r="C32" s="6" t="s">
        <v>93</v>
      </c>
      <c r="D32" s="7" t="s">
        <v>94</v>
      </c>
      <c r="F32" s="13">
        <v>45778</v>
      </c>
      <c r="G32" s="13">
        <v>45900</v>
      </c>
      <c r="H32" s="7">
        <v>0</v>
      </c>
      <c r="I32" s="7">
        <v>-25926.302</v>
      </c>
      <c r="J32" s="7">
        <v>0</v>
      </c>
      <c r="K32" s="7">
        <v>-210.78294299999999</v>
      </c>
      <c r="L32" s="7">
        <v>0</v>
      </c>
      <c r="M32" s="7">
        <v>19.793826899999999</v>
      </c>
      <c r="N32" s="7">
        <v>28.51</v>
      </c>
      <c r="O32" s="7">
        <v>9.0655000000000001</v>
      </c>
      <c r="P32" s="7">
        <v>0</v>
      </c>
      <c r="Q32" s="7">
        <v>0</v>
      </c>
      <c r="R32" s="7">
        <v>0</v>
      </c>
      <c r="S32" s="7">
        <v>0</v>
      </c>
      <c r="T32" s="7">
        <v>123</v>
      </c>
      <c r="U32" s="6">
        <v>0</v>
      </c>
      <c r="W32" s="17">
        <v>41.367711</v>
      </c>
      <c r="X32" s="16">
        <v>-71.634050000000002</v>
      </c>
      <c r="Z32" s="7" t="s">
        <v>36</v>
      </c>
    </row>
    <row r="33" spans="1:26" x14ac:dyDescent="0.25">
      <c r="A33" t="s">
        <v>95</v>
      </c>
      <c r="B33" t="s">
        <v>44</v>
      </c>
      <c r="C33" t="s">
        <v>96</v>
      </c>
      <c r="D33" s="1" t="s">
        <v>97</v>
      </c>
      <c r="F33" s="2">
        <v>45105</v>
      </c>
      <c r="G33" s="2">
        <v>45833</v>
      </c>
      <c r="H33" s="1">
        <v>2519.2541700000002</v>
      </c>
      <c r="I33" s="1">
        <v>-12515.998100000001</v>
      </c>
      <c r="J33" s="1">
        <v>10.3248122</v>
      </c>
      <c r="K33" s="1">
        <v>-51.295074</v>
      </c>
      <c r="L33" s="1">
        <v>94.932500000000005</v>
      </c>
      <c r="M33" s="1">
        <v>26.885108899999999</v>
      </c>
      <c r="N33" s="1">
        <v>34.638055600000001</v>
      </c>
      <c r="O33" s="1">
        <v>18.188055599999998</v>
      </c>
      <c r="P33" s="1">
        <v>51</v>
      </c>
      <c r="Q33" s="1">
        <v>104</v>
      </c>
      <c r="R33" s="1">
        <v>0.81290063999999995</v>
      </c>
      <c r="S33" s="1">
        <v>0.11615565</v>
      </c>
      <c r="T33" s="1">
        <v>244</v>
      </c>
      <c r="U33">
        <v>34.799999999999997</v>
      </c>
      <c r="W33" s="17">
        <v>37.340885999999998</v>
      </c>
      <c r="X33" s="17">
        <v>-76.409088999999994</v>
      </c>
      <c r="Z33" s="1" t="s">
        <v>36</v>
      </c>
    </row>
    <row r="34" spans="1:26" x14ac:dyDescent="0.25">
      <c r="A34" t="s">
        <v>95</v>
      </c>
      <c r="B34" t="s">
        <v>44</v>
      </c>
      <c r="C34" t="s">
        <v>98</v>
      </c>
      <c r="D34" s="1" t="s">
        <v>99</v>
      </c>
      <c r="F34" s="2">
        <v>45106</v>
      </c>
      <c r="G34" s="2">
        <v>45841</v>
      </c>
      <c r="H34" s="1">
        <v>866.63861099999997</v>
      </c>
      <c r="I34" s="1">
        <v>-11042.9614</v>
      </c>
      <c r="J34" s="1">
        <v>4.6097798499999998</v>
      </c>
      <c r="K34" s="1">
        <v>-58.739156299999998</v>
      </c>
      <c r="L34" s="1">
        <v>41.687777799999999</v>
      </c>
      <c r="M34" s="1">
        <v>26.326195299999998</v>
      </c>
      <c r="N34" s="1">
        <v>31.88</v>
      </c>
      <c r="O34" s="1">
        <v>16.665277799999998</v>
      </c>
      <c r="P34" s="1">
        <v>24</v>
      </c>
      <c r="Q34" s="1">
        <v>103</v>
      </c>
      <c r="R34" s="1">
        <v>0.37985437</v>
      </c>
      <c r="S34" s="1">
        <v>3.9459849999999998E-2</v>
      </c>
      <c r="T34" s="1">
        <v>188</v>
      </c>
      <c r="U34">
        <v>21</v>
      </c>
      <c r="W34" s="17">
        <v>37.403052000000002</v>
      </c>
      <c r="X34" s="17">
        <v>-75.984093999999999</v>
      </c>
      <c r="Z34" s="1" t="s">
        <v>36</v>
      </c>
    </row>
    <row r="35" spans="1:26" x14ac:dyDescent="0.25">
      <c r="A35" t="s">
        <v>100</v>
      </c>
      <c r="B35" t="s">
        <v>44</v>
      </c>
      <c r="C35" t="s">
        <v>102</v>
      </c>
      <c r="D35" t="s">
        <v>103</v>
      </c>
      <c r="F35" s="2">
        <v>45419</v>
      </c>
      <c r="G35" s="2">
        <v>45535</v>
      </c>
      <c r="H35">
        <v>665.06699999999898</v>
      </c>
      <c r="I35">
        <v>-5576.00741666667</v>
      </c>
      <c r="J35">
        <v>5.6843333333333304</v>
      </c>
      <c r="K35">
        <v>-47.658183048433102</v>
      </c>
      <c r="L35">
        <v>44.761000000000003</v>
      </c>
      <c r="M35">
        <v>26.831860517568899</v>
      </c>
      <c r="N35">
        <v>31.992999999999999</v>
      </c>
      <c r="O35">
        <v>18.41225</v>
      </c>
      <c r="P35">
        <v>24</v>
      </c>
      <c r="Q35">
        <v>44</v>
      </c>
      <c r="R35">
        <v>0.67234848484848497</v>
      </c>
      <c r="S35">
        <v>9.5153497861811306E-2</v>
      </c>
      <c r="T35">
        <v>117</v>
      </c>
      <c r="U35">
        <v>25.411596277737999</v>
      </c>
      <c r="W35" s="17">
        <v>35.369509999999998</v>
      </c>
      <c r="X35" s="17">
        <v>-75.515889999999999</v>
      </c>
      <c r="Z35" s="1" t="s">
        <v>36</v>
      </c>
    </row>
    <row r="36" spans="1:26" x14ac:dyDescent="0.25">
      <c r="A36" t="s">
        <v>100</v>
      </c>
      <c r="B36" t="s">
        <v>44</v>
      </c>
      <c r="C36" t="s">
        <v>142</v>
      </c>
      <c r="D36" t="s">
        <v>143</v>
      </c>
      <c r="F36" s="2">
        <v>45492</v>
      </c>
      <c r="G36" s="2">
        <v>45535</v>
      </c>
      <c r="H36">
        <v>285.93749999999898</v>
      </c>
      <c r="I36">
        <v>-1149.3399999999999</v>
      </c>
      <c r="J36">
        <v>6.4985795454545299</v>
      </c>
      <c r="K36">
        <v>-26.1213636363637</v>
      </c>
      <c r="L36">
        <v>32.365000000000002</v>
      </c>
      <c r="M36">
        <v>27.7876120580808</v>
      </c>
      <c r="N36">
        <v>31.454999999999998</v>
      </c>
      <c r="O36">
        <v>22.585000000000001</v>
      </c>
      <c r="P36">
        <v>11</v>
      </c>
      <c r="Q36">
        <v>32</v>
      </c>
      <c r="R36">
        <v>0.43229166666666702</v>
      </c>
      <c r="S36">
        <v>6.4260324313793901E-2</v>
      </c>
      <c r="T36">
        <v>44</v>
      </c>
      <c r="U36">
        <v>31.770334928229701</v>
      </c>
      <c r="W36" s="18">
        <v>34.903799999999997</v>
      </c>
      <c r="X36" s="17">
        <v>-76.264880000000005</v>
      </c>
      <c r="Z36" s="1" t="s">
        <v>36</v>
      </c>
    </row>
    <row r="37" spans="1:26" x14ac:dyDescent="0.25">
      <c r="A37" t="s">
        <v>100</v>
      </c>
      <c r="B37" t="s">
        <v>44</v>
      </c>
      <c r="C37" t="s">
        <v>104</v>
      </c>
      <c r="D37" t="s">
        <v>105</v>
      </c>
      <c r="F37" s="2">
        <v>45418</v>
      </c>
      <c r="G37" s="2">
        <v>45782</v>
      </c>
      <c r="H37">
        <v>812.02749999999901</v>
      </c>
      <c r="I37">
        <v>-6484.4125833333401</v>
      </c>
      <c r="J37">
        <v>6.6018495934959303</v>
      </c>
      <c r="K37">
        <v>-52.718801490514899</v>
      </c>
      <c r="L37">
        <v>50.240250000000003</v>
      </c>
      <c r="M37">
        <v>26.635627794715401</v>
      </c>
      <c r="N37">
        <v>32.872250000000001</v>
      </c>
      <c r="O37">
        <v>18.133500000000002</v>
      </c>
      <c r="P37">
        <v>24</v>
      </c>
      <c r="Q37">
        <v>68</v>
      </c>
      <c r="R37">
        <v>0.449142156862745</v>
      </c>
      <c r="S37">
        <v>5.3955385792728502E-2</v>
      </c>
      <c r="T37">
        <v>123</v>
      </c>
      <c r="U37">
        <v>25.0256060088767</v>
      </c>
      <c r="W37" s="17">
        <v>35.450119999999998</v>
      </c>
      <c r="X37" s="17">
        <v>-75.510369999999995</v>
      </c>
      <c r="Z37" s="1" t="s">
        <v>36</v>
      </c>
    </row>
    <row r="38" spans="1:26" x14ac:dyDescent="0.25">
      <c r="A38" t="s">
        <v>63</v>
      </c>
      <c r="B38" t="s">
        <v>44</v>
      </c>
      <c r="C38" t="s">
        <v>106</v>
      </c>
      <c r="D38" s="1" t="s">
        <v>107</v>
      </c>
      <c r="F38" s="12">
        <v>45778</v>
      </c>
      <c r="G38" s="12">
        <v>45900</v>
      </c>
      <c r="H38" s="1">
        <v>0</v>
      </c>
      <c r="I38" s="1">
        <v>-32118.053500000002</v>
      </c>
      <c r="J38" s="1">
        <v>0</v>
      </c>
      <c r="K38" s="1">
        <v>-261.12238600000001</v>
      </c>
      <c r="L38" s="1">
        <v>0</v>
      </c>
      <c r="M38" s="1">
        <v>17.695560799999999</v>
      </c>
      <c r="N38" s="1">
        <v>22.97</v>
      </c>
      <c r="O38" s="1">
        <v>9.3870000000000005</v>
      </c>
      <c r="P38" s="1">
        <v>0</v>
      </c>
      <c r="Q38" s="1">
        <v>0</v>
      </c>
      <c r="R38" s="1">
        <v>0</v>
      </c>
      <c r="S38" s="1">
        <v>0</v>
      </c>
      <c r="T38" s="1">
        <v>123</v>
      </c>
      <c r="U38" s="1">
        <v>0</v>
      </c>
      <c r="W38" s="19">
        <v>41.332732</v>
      </c>
      <c r="X38" s="19">
        <v>-71.902703000000002</v>
      </c>
      <c r="Z38" s="1" t="s">
        <v>36</v>
      </c>
    </row>
    <row r="39" spans="1:26" s="6" customFormat="1" x14ac:dyDescent="0.25">
      <c r="A39" s="6" t="s">
        <v>76</v>
      </c>
      <c r="B39" s="6" t="s">
        <v>44</v>
      </c>
      <c r="C39" s="6" t="s">
        <v>108</v>
      </c>
      <c r="D39" s="7" t="s">
        <v>109</v>
      </c>
      <c r="F39" s="15">
        <v>45778</v>
      </c>
      <c r="G39" s="15">
        <v>45900</v>
      </c>
      <c r="H39" s="7">
        <v>0</v>
      </c>
      <c r="I39" s="7">
        <v>-47134.076399999998</v>
      </c>
      <c r="J39" s="7">
        <v>0</v>
      </c>
      <c r="K39" s="7">
        <v>-383.20387299999999</v>
      </c>
      <c r="L39" s="7">
        <v>0</v>
      </c>
      <c r="M39" s="7">
        <v>12.603987200000001</v>
      </c>
      <c r="N39" s="7">
        <v>27.311111100000002</v>
      </c>
      <c r="O39" s="7">
        <v>5.0113888900000001</v>
      </c>
      <c r="P39" s="7">
        <v>0</v>
      </c>
      <c r="Q39" s="7">
        <v>0</v>
      </c>
      <c r="R39" s="7">
        <v>0</v>
      </c>
      <c r="S39" s="7">
        <v>0</v>
      </c>
      <c r="T39" s="7">
        <v>123</v>
      </c>
      <c r="U39" s="7">
        <v>0</v>
      </c>
      <c r="W39" s="17">
        <v>44.698920000000001</v>
      </c>
      <c r="X39" s="17">
        <v>-67.334109999999995</v>
      </c>
      <c r="Z39" s="1" t="s">
        <v>36</v>
      </c>
    </row>
    <row r="40" spans="1:26" x14ac:dyDescent="0.25">
      <c r="A40" t="s">
        <v>110</v>
      </c>
      <c r="B40" t="s">
        <v>44</v>
      </c>
      <c r="C40" t="s">
        <v>111</v>
      </c>
      <c r="D40" s="1" t="s">
        <v>112</v>
      </c>
      <c r="F40" s="12">
        <v>45778</v>
      </c>
      <c r="G40" s="12">
        <v>45870</v>
      </c>
      <c r="H40" s="1">
        <v>0</v>
      </c>
      <c r="I40" s="1">
        <v>-36295.887000000002</v>
      </c>
      <c r="J40" s="1">
        <v>0</v>
      </c>
      <c r="K40" s="1">
        <v>-390.27835499999998</v>
      </c>
      <c r="L40" s="1">
        <v>0</v>
      </c>
      <c r="M40" s="1">
        <v>12.226910699999999</v>
      </c>
      <c r="N40" s="1">
        <v>20.280999999999999</v>
      </c>
      <c r="O40" s="1">
        <v>5.86</v>
      </c>
      <c r="P40" s="1">
        <v>0</v>
      </c>
      <c r="Q40" s="1">
        <v>0</v>
      </c>
      <c r="R40" s="1">
        <v>0</v>
      </c>
      <c r="S40" s="1">
        <v>0</v>
      </c>
      <c r="T40" s="1">
        <v>93</v>
      </c>
      <c r="U40" s="1">
        <v>0</v>
      </c>
      <c r="W40" s="16">
        <v>43.057029999999997</v>
      </c>
      <c r="X40" s="17">
        <v>-70.714429999999993</v>
      </c>
      <c r="Y40" t="s">
        <v>113</v>
      </c>
      <c r="Z40" s="1" t="s">
        <v>36</v>
      </c>
    </row>
    <row r="41" spans="1:26" x14ac:dyDescent="0.25">
      <c r="A41" t="s">
        <v>28</v>
      </c>
      <c r="B41" t="s">
        <v>44</v>
      </c>
      <c r="C41" t="s">
        <v>114</v>
      </c>
      <c r="D41" s="1" t="s">
        <v>115</v>
      </c>
      <c r="F41" s="12">
        <v>45518</v>
      </c>
      <c r="G41" s="12">
        <v>45897</v>
      </c>
      <c r="H41" s="1">
        <v>0</v>
      </c>
      <c r="I41" s="1">
        <v>-47734.082000000002</v>
      </c>
      <c r="J41" s="1">
        <v>0</v>
      </c>
      <c r="K41" s="1">
        <v>-345.89914499999998</v>
      </c>
      <c r="L41" s="1">
        <v>0</v>
      </c>
      <c r="M41" s="1">
        <v>14.063564599999999</v>
      </c>
      <c r="N41" s="1">
        <v>21.635000000000002</v>
      </c>
      <c r="O41" s="1">
        <v>6.899</v>
      </c>
      <c r="P41" s="1">
        <v>0</v>
      </c>
      <c r="Q41" s="1">
        <v>0</v>
      </c>
      <c r="R41" s="1">
        <v>0</v>
      </c>
      <c r="S41" s="1">
        <v>0</v>
      </c>
      <c r="T41" s="1">
        <v>138</v>
      </c>
      <c r="U41" s="1">
        <v>0</v>
      </c>
      <c r="W41" s="17">
        <v>42.417727999999997</v>
      </c>
      <c r="X41" s="16">
        <v>-70.912402</v>
      </c>
      <c r="Z41" s="1" t="s">
        <v>36</v>
      </c>
    </row>
    <row r="42" spans="1:26" x14ac:dyDescent="0.25">
      <c r="A42" t="s">
        <v>28</v>
      </c>
      <c r="B42" t="s">
        <v>44</v>
      </c>
      <c r="C42" t="s">
        <v>116</v>
      </c>
      <c r="D42" s="1" t="s">
        <v>117</v>
      </c>
      <c r="F42" s="12">
        <v>45518</v>
      </c>
      <c r="G42" s="12">
        <v>45900</v>
      </c>
      <c r="H42" s="1">
        <v>0</v>
      </c>
      <c r="I42" s="1">
        <v>-48117.188499999997</v>
      </c>
      <c r="J42" s="1">
        <v>0</v>
      </c>
      <c r="K42" s="1">
        <v>-341.25665600000002</v>
      </c>
      <c r="L42" s="1">
        <v>0</v>
      </c>
      <c r="M42" s="1">
        <v>14.309094399999999</v>
      </c>
      <c r="N42" s="1">
        <v>20.771999999999998</v>
      </c>
      <c r="O42" s="1">
        <v>5.6924999999999999</v>
      </c>
      <c r="P42" s="1">
        <v>0</v>
      </c>
      <c r="Q42" s="1">
        <v>0</v>
      </c>
      <c r="R42" s="1">
        <v>0</v>
      </c>
      <c r="S42" s="1">
        <v>0</v>
      </c>
      <c r="T42" s="1">
        <v>141</v>
      </c>
      <c r="U42" s="1">
        <v>0</v>
      </c>
      <c r="W42" s="17">
        <v>42.594096</v>
      </c>
      <c r="X42" s="16">
        <v>-70.656833000000006</v>
      </c>
      <c r="Z42" s="1" t="s">
        <v>36</v>
      </c>
    </row>
    <row r="43" spans="1:26" x14ac:dyDescent="0.25">
      <c r="A43" t="s">
        <v>76</v>
      </c>
      <c r="B43" t="s">
        <v>85</v>
      </c>
      <c r="C43" t="s">
        <v>118</v>
      </c>
      <c r="D43" s="1" t="s">
        <v>119</v>
      </c>
      <c r="F43" s="12">
        <v>45524</v>
      </c>
      <c r="G43" s="12">
        <v>45900</v>
      </c>
      <c r="H43" s="1">
        <v>0</v>
      </c>
      <c r="I43" s="1">
        <v>-53037.015500000001</v>
      </c>
      <c r="J43" s="1">
        <v>0</v>
      </c>
      <c r="K43" s="1">
        <v>-392.866781</v>
      </c>
      <c r="L43" s="1">
        <v>0</v>
      </c>
      <c r="M43" s="1">
        <v>12.1217369</v>
      </c>
      <c r="N43" s="1">
        <v>21.774999999999999</v>
      </c>
      <c r="O43" s="1">
        <v>5.7030000000000003</v>
      </c>
      <c r="P43" s="1">
        <v>0</v>
      </c>
      <c r="Q43" s="1">
        <v>0</v>
      </c>
      <c r="R43" s="1">
        <v>0</v>
      </c>
      <c r="S43" s="1">
        <v>0</v>
      </c>
      <c r="T43" s="1">
        <v>135</v>
      </c>
      <c r="U43" s="1">
        <v>0</v>
      </c>
      <c r="W43" s="17">
        <v>44.227739999999997</v>
      </c>
      <c r="X43" s="16">
        <v>-68.322609999999997</v>
      </c>
      <c r="Z43" s="1" t="s">
        <v>36</v>
      </c>
    </row>
    <row r="44" spans="1:26" s="6" customFormat="1" x14ac:dyDescent="0.25">
      <c r="A44" s="6" t="s">
        <v>110</v>
      </c>
      <c r="B44" s="6" t="s">
        <v>44</v>
      </c>
      <c r="C44" s="6" t="s">
        <v>120</v>
      </c>
      <c r="D44" s="7" t="s">
        <v>121</v>
      </c>
      <c r="F44" s="13">
        <v>45805</v>
      </c>
      <c r="G44" s="13">
        <v>45863</v>
      </c>
      <c r="H44" s="7">
        <v>8.683333E-2</v>
      </c>
      <c r="I44" s="7">
        <v>-10922.7826</v>
      </c>
      <c r="J44" s="7">
        <v>1.47175E-3</v>
      </c>
      <c r="K44" s="7">
        <v>-185.13190800000001</v>
      </c>
      <c r="L44" s="7">
        <v>6.4833329999999995E-2</v>
      </c>
      <c r="M44" s="7">
        <v>20.7487855</v>
      </c>
      <c r="N44" s="7">
        <v>28.664833300000002</v>
      </c>
      <c r="O44" s="7">
        <v>14.468999999999999</v>
      </c>
      <c r="P44" s="7">
        <v>1</v>
      </c>
      <c r="Q44" s="7">
        <v>2</v>
      </c>
      <c r="R44" s="7">
        <v>4.1666670000000003E-2</v>
      </c>
      <c r="S44" s="7">
        <v>0</v>
      </c>
      <c r="T44" s="7">
        <v>59</v>
      </c>
      <c r="U44" s="7">
        <v>0.14316392</v>
      </c>
      <c r="W44" s="16">
        <v>43.072521000000002</v>
      </c>
      <c r="X44" s="17">
        <v>-70.885059999999996</v>
      </c>
      <c r="Z44" s="1" t="s">
        <v>36</v>
      </c>
    </row>
    <row r="45" spans="1:26" x14ac:dyDescent="0.25">
      <c r="A45" t="s">
        <v>100</v>
      </c>
      <c r="B45" t="s">
        <v>44</v>
      </c>
      <c r="C45" t="s">
        <v>146</v>
      </c>
      <c r="D45" s="1" t="s">
        <v>147</v>
      </c>
      <c r="F45" s="2">
        <v>45489</v>
      </c>
      <c r="G45" s="2">
        <v>45783</v>
      </c>
      <c r="H45" s="1">
        <v>390.29</v>
      </c>
      <c r="I45" s="1">
        <v>-2871.4291699999999</v>
      </c>
      <c r="J45" s="1">
        <v>7.3639622600000001</v>
      </c>
      <c r="K45" s="1">
        <v>-54.177908799999997</v>
      </c>
      <c r="L45" s="1">
        <v>37.090000000000003</v>
      </c>
      <c r="M45" s="1">
        <v>26.599850499999999</v>
      </c>
      <c r="N45" s="1">
        <v>36.28</v>
      </c>
      <c r="O45" s="1">
        <v>19.71</v>
      </c>
      <c r="P45" s="1">
        <v>11</v>
      </c>
      <c r="Q45" s="1">
        <v>38</v>
      </c>
      <c r="R45" s="1">
        <v>0.22697368000000001</v>
      </c>
      <c r="S45" s="1">
        <v>1.7407189999999999E-2</v>
      </c>
      <c r="T45" s="1">
        <v>53</v>
      </c>
      <c r="U45" s="1">
        <v>16.626505999999999</v>
      </c>
      <c r="W45" s="17">
        <v>35.094830000000002</v>
      </c>
      <c r="X45" s="17">
        <v>-76.008780000000002</v>
      </c>
      <c r="Z45" s="1" t="s">
        <v>36</v>
      </c>
    </row>
    <row r="46" spans="1:26" x14ac:dyDescent="0.25">
      <c r="A46" t="s">
        <v>100</v>
      </c>
      <c r="B46" t="s">
        <v>44</v>
      </c>
      <c r="C46" t="s">
        <v>148</v>
      </c>
      <c r="D46" s="1" t="s">
        <v>149</v>
      </c>
      <c r="F46" s="2">
        <v>45418</v>
      </c>
      <c r="G46" s="2">
        <v>45804</v>
      </c>
      <c r="H46" s="1">
        <v>767.20249999999999</v>
      </c>
      <c r="I46" s="1">
        <v>-8982.3934200000003</v>
      </c>
      <c r="J46" s="1">
        <v>5.2910517199999996</v>
      </c>
      <c r="K46" s="1">
        <v>-61.947540799999999</v>
      </c>
      <c r="L46" s="1">
        <v>48.347749999999998</v>
      </c>
      <c r="M46" s="1">
        <v>26.200737700000001</v>
      </c>
      <c r="N46" s="1">
        <v>32.325249999999997</v>
      </c>
      <c r="O46" s="1">
        <v>16.1175</v>
      </c>
      <c r="P46" s="1">
        <v>24</v>
      </c>
      <c r="Q46" s="1">
        <v>54</v>
      </c>
      <c r="R46" s="1">
        <v>0.56095678999999998</v>
      </c>
      <c r="S46" s="1">
        <v>8.0291210000000002E-2</v>
      </c>
      <c r="T46" s="1">
        <v>145</v>
      </c>
      <c r="U46" s="1">
        <v>21.0115607</v>
      </c>
      <c r="W46" s="17">
        <v>35.483629999999998</v>
      </c>
      <c r="X46" s="17">
        <v>-75.496799999999993</v>
      </c>
      <c r="Z46" s="1" t="s">
        <v>36</v>
      </c>
    </row>
    <row r="47" spans="1:26" x14ac:dyDescent="0.25">
      <c r="A47" t="s">
        <v>100</v>
      </c>
      <c r="B47" t="s">
        <v>44</v>
      </c>
      <c r="C47" t="s">
        <v>144</v>
      </c>
      <c r="D47" s="1" t="s">
        <v>145</v>
      </c>
      <c r="F47" s="2">
        <v>45778</v>
      </c>
      <c r="G47" s="2">
        <v>45852</v>
      </c>
      <c r="H47" s="1">
        <v>508.96249999999998</v>
      </c>
      <c r="I47" s="1">
        <v>-5699.5725000000002</v>
      </c>
      <c r="J47" s="1">
        <v>6.7861666700000001</v>
      </c>
      <c r="K47" s="1">
        <v>-75.994299999999996</v>
      </c>
      <c r="L47" s="1">
        <v>44.115000000000002</v>
      </c>
      <c r="M47" s="1">
        <v>25.707391900000001</v>
      </c>
      <c r="N47" s="1">
        <v>34.232500000000002</v>
      </c>
      <c r="O47" s="1">
        <v>19.012499999999999</v>
      </c>
      <c r="P47" s="1">
        <v>14</v>
      </c>
      <c r="Q47" s="1">
        <v>34</v>
      </c>
      <c r="R47" s="1">
        <v>0.41544118000000002</v>
      </c>
      <c r="S47" s="1">
        <v>4.5244670000000001E-2</v>
      </c>
      <c r="T47" s="1">
        <v>75</v>
      </c>
      <c r="U47" s="1">
        <v>18.938547499999999</v>
      </c>
      <c r="W47" s="17">
        <v>35.226329999999997</v>
      </c>
      <c r="X47" s="17">
        <v>-75.728999999999999</v>
      </c>
      <c r="Z47" s="1" t="s">
        <v>36</v>
      </c>
    </row>
    <row r="48" spans="1:26" x14ac:dyDescent="0.25">
      <c r="A48" t="s">
        <v>95</v>
      </c>
      <c r="B48" t="s">
        <v>44</v>
      </c>
      <c r="C48" t="s">
        <v>122</v>
      </c>
      <c r="D48" s="1" t="s">
        <v>123</v>
      </c>
      <c r="F48" s="2">
        <v>45084</v>
      </c>
      <c r="G48" s="2">
        <v>45900</v>
      </c>
      <c r="H48" s="1">
        <v>1047.0060000000001</v>
      </c>
      <c r="I48" s="1">
        <v>-22409.008999999998</v>
      </c>
      <c r="J48" s="1">
        <v>3.5612449000000002</v>
      </c>
      <c r="K48" s="1">
        <v>-76.221119000000002</v>
      </c>
      <c r="L48" s="1">
        <v>67.554749999999999</v>
      </c>
      <c r="M48" s="1">
        <v>25.5197164</v>
      </c>
      <c r="N48" s="1">
        <v>35.074249999999999</v>
      </c>
      <c r="O48" s="1">
        <v>16.965250000000001</v>
      </c>
      <c r="P48" s="1">
        <v>41</v>
      </c>
      <c r="Q48" s="1">
        <v>145</v>
      </c>
      <c r="R48" s="1">
        <v>0.26896552000000001</v>
      </c>
      <c r="S48" s="1">
        <v>4.2982840000000001E-2</v>
      </c>
      <c r="T48" s="1">
        <v>294</v>
      </c>
      <c r="U48" s="1">
        <v>13.346641999999999</v>
      </c>
      <c r="W48" s="17">
        <v>37.272784000000001</v>
      </c>
      <c r="X48" s="17">
        <v>-75.806096999999994</v>
      </c>
      <c r="Z48" s="1" t="s">
        <v>36</v>
      </c>
    </row>
    <row r="49" spans="1:26" x14ac:dyDescent="0.25">
      <c r="A49" t="s">
        <v>95</v>
      </c>
      <c r="B49" t="s">
        <v>44</v>
      </c>
      <c r="C49" t="s">
        <v>171</v>
      </c>
      <c r="D49" s="1" t="s">
        <v>125</v>
      </c>
      <c r="F49" s="2">
        <v>45413</v>
      </c>
      <c r="G49" s="2">
        <v>45900</v>
      </c>
      <c r="H49" s="1">
        <v>316.76299999999998</v>
      </c>
      <c r="I49" s="1">
        <v>-28547.443800000001</v>
      </c>
      <c r="J49" s="1">
        <v>1.36535776</v>
      </c>
      <c r="K49" s="1">
        <v>-123.04932700000001</v>
      </c>
      <c r="L49" s="1">
        <v>36.746250000000003</v>
      </c>
      <c r="M49" s="1">
        <v>23.376830500000001</v>
      </c>
      <c r="N49" s="1">
        <v>32.896000000000001</v>
      </c>
      <c r="O49" s="1">
        <v>13.139250000000001</v>
      </c>
      <c r="P49" s="1">
        <v>15</v>
      </c>
      <c r="Q49" s="1">
        <v>74</v>
      </c>
      <c r="R49" s="1">
        <v>0.16948198</v>
      </c>
      <c r="S49" s="1">
        <v>2.1064699999999999E-2</v>
      </c>
      <c r="T49" s="1">
        <v>232</v>
      </c>
      <c r="U49" s="1">
        <v>5.5968761599999999</v>
      </c>
      <c r="W49" s="17">
        <v>37.614136000000002</v>
      </c>
      <c r="X49" s="17">
        <v>-75.685809000000006</v>
      </c>
      <c r="Y49" t="s">
        <v>126</v>
      </c>
      <c r="Z49" s="1" t="s">
        <v>36</v>
      </c>
    </row>
    <row r="50" spans="1:26" x14ac:dyDescent="0.25">
      <c r="A50" t="s">
        <v>28</v>
      </c>
      <c r="B50" t="s">
        <v>44</v>
      </c>
      <c r="C50" t="s">
        <v>127</v>
      </c>
      <c r="D50" s="1" t="s">
        <v>128</v>
      </c>
      <c r="E50" t="s">
        <v>37</v>
      </c>
      <c r="F50" s="2">
        <v>44785</v>
      </c>
      <c r="G50" s="2">
        <v>45863</v>
      </c>
      <c r="H50" s="1">
        <v>0</v>
      </c>
      <c r="I50" s="1">
        <v>-76091.8701</v>
      </c>
      <c r="J50" s="1">
        <v>0</v>
      </c>
      <c r="K50" s="1">
        <v>-229.884804</v>
      </c>
      <c r="L50" s="1">
        <v>0</v>
      </c>
      <c r="M50" s="1">
        <v>18.955730800000001</v>
      </c>
      <c r="N50" s="1">
        <v>27.973500000000001</v>
      </c>
      <c r="O50" s="1">
        <v>5.6550000000000002</v>
      </c>
      <c r="P50" s="1">
        <v>0</v>
      </c>
      <c r="Q50" s="1">
        <v>0</v>
      </c>
      <c r="R50" s="1">
        <v>0</v>
      </c>
      <c r="S50" s="1">
        <v>0</v>
      </c>
      <c r="T50" s="1">
        <v>331</v>
      </c>
      <c r="U50" s="1">
        <v>0</v>
      </c>
      <c r="W50" s="17">
        <v>42.058399000000001</v>
      </c>
      <c r="X50" s="17">
        <v>-70.161844000000002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ECB752B0AD543815B8D9AF024C261" ma:contentTypeVersion="14" ma:contentTypeDescription="Create a new document." ma:contentTypeScope="" ma:versionID="0049ceda05fd7d1f30cbca6a7456c194">
  <xsd:schema xmlns:xsd="http://www.w3.org/2001/XMLSchema" xmlns:xs="http://www.w3.org/2001/XMLSchema" xmlns:p="http://schemas.microsoft.com/office/2006/metadata/properties" xmlns:ns2="167b66d6-b0d8-4d7e-8e6b-ec1f3e01f5e7" xmlns:ns3="806b8183-588f-4d74-85e7-7c53102722a8" targetNamespace="http://schemas.microsoft.com/office/2006/metadata/properties" ma:root="true" ma:fieldsID="9abaeb0f108b532a89c8b867b535a2f9" ns2:_="" ns3:_="">
    <xsd:import namespace="167b66d6-b0d8-4d7e-8e6b-ec1f3e01f5e7"/>
    <xsd:import namespace="806b8183-588f-4d74-85e7-7c53102722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b66d6-b0d8-4d7e-8e6b-ec1f3e01f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50c834-8d4b-4a14-b25e-aaab46c196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b8183-588f-4d74-85e7-7c53102722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a5f25-b017-44f0-9348-af194898c2c4}" ma:internalName="TaxCatchAll" ma:showField="CatchAllData" ma:web="806b8183-588f-4d74-85e7-7c53102722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b66d6-b0d8-4d7e-8e6b-ec1f3e01f5e7">
      <Terms xmlns="http://schemas.microsoft.com/office/infopath/2007/PartnerControls"/>
    </lcf76f155ced4ddcb4097134ff3c332f>
    <TaxCatchAll xmlns="806b8183-588f-4d74-85e7-7c53102722a8" xsi:nil="true"/>
  </documentManagement>
</p:properties>
</file>

<file path=customXml/itemProps1.xml><?xml version="1.0" encoding="utf-8"?>
<ds:datastoreItem xmlns:ds="http://schemas.openxmlformats.org/officeDocument/2006/customXml" ds:itemID="{D58F7CFC-A1AC-4029-9FE5-B1457642F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b66d6-b0d8-4d7e-8e6b-ec1f3e01f5e7"/>
    <ds:schemaRef ds:uri="806b8183-588f-4d74-85e7-7c53102722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1F941F-6010-4850-9AE4-98EBF93BC5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3898D-7EE4-47E7-A4BA-15DA663A513D}">
  <ds:schemaRefs>
    <ds:schemaRef ds:uri="http://schemas.microsoft.com/office/2006/metadata/properties"/>
    <ds:schemaRef ds:uri="http://schemas.microsoft.com/office/infopath/2007/PartnerControls"/>
    <ds:schemaRef ds:uri="167b66d6-b0d8-4d7e-8e6b-ec1f3e01f5e7"/>
    <ds:schemaRef ds:uri="806b8183-588f-4d74-85e7-7c53102722a8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Summary Master_25</vt:lpstr>
      <vt:lpstr>Site_Year</vt:lpstr>
      <vt:lpstr>Site Summary Master_28.6</vt:lpstr>
    </vt:vector>
  </TitlesOfParts>
  <Manager/>
  <Company>Department of the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Button, Kaitlyn L</dc:creator>
  <cp:keywords/>
  <dc:description/>
  <cp:lastModifiedBy>Button, Kaitlyn L</cp:lastModifiedBy>
  <cp:revision/>
  <dcterms:created xsi:type="dcterms:W3CDTF">2026-01-27T19:04:40Z</dcterms:created>
  <dcterms:modified xsi:type="dcterms:W3CDTF">2026-06-16T16:48:00Z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0x010100873ECB752B0AD543815B8D9AF024C261</vt:lpwstr>
  </property>
  <property fmtid="{D5CDD505-2E9C-101B-9397-08002B2CF9AE}" pid="3" name="MediaServiceImageTags">
    <vt:lpwstr/>
  </property>
</Properties>
</file>